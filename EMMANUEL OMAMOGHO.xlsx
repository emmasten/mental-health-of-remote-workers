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B51C6F4E-65BF-4425-B7BA-84419CC8714E}" xr6:coauthVersionLast="47" xr6:coauthVersionMax="47" xr10:uidLastSave="{00000000-0000-0000-0000-000000000000}"/>
  <bookViews>
    <workbookView xWindow="-110" yWindow="-110" windowWidth="19420" windowHeight="10300" firstSheet="2" activeTab="5" xr2:uid="{01809331-B097-4C90-A630-9E4D2E99264C}"/>
  </bookViews>
  <sheets>
    <sheet name="mental_health_remote_workers " sheetId="5" r:id="rId1"/>
    <sheet name=" BUSINESS QUESTION" sheetId="1" r:id="rId2"/>
    <sheet name="ANALYSIS" sheetId="6" r:id="rId3"/>
    <sheet name="INTERPRETATION" sheetId="8" r:id="rId4"/>
    <sheet name="SUMMARY" sheetId="9" r:id="rId5"/>
    <sheet name="DASHBOARD" sheetId="7" r:id="rId6"/>
  </sheets>
  <definedNames>
    <definedName name="ExternalData_1" localSheetId="0" hidden="1">'mental_health_remote_workers '!$A$1:$M$42</definedName>
    <definedName name="Slicer_Burnout_level">#N/A</definedName>
    <definedName name="Slicer_Job_Role">#N/A</definedName>
    <definedName name="Slicer_Mental_Health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5DB9B7-D149-4CA1-8344-C63B1B0914DC}" keepAlive="1" name="Query - mental_health_remote_workers" description="Connection to the 'mental_health_remote_workers' query in the workbook." type="5" refreshedVersion="7" background="1" saveData="1">
    <dbPr connection="Provider=Microsoft.Mashup.OleDb.1;Data Source=$Workbook$;Location=mental_health_remote_workers;Extended Properties=&quot;&quot;" command="SELECT * FROM [mental_health_remote_workers]"/>
  </connection>
  <connection id="2" xr16:uid="{517931C8-F7E5-434B-9DFC-577B3A237B31}" keepAlive="1" name="Query - mental_health_remote_workers (2)" description="Connection to the 'mental_health_remote_workers (2)' query in the workbook." type="5" refreshedVersion="7" background="1" saveData="1">
    <dbPr connection="Provider=Microsoft.Mashup.OleDb.1;Data Source=$Workbook$;Location=&quot;mental_health_remote_workers (2)&quot;;Extended Properties=&quot;&quot;" command="SELECT * FROM [mental_health_remote_workers (2)]"/>
  </connection>
</connections>
</file>

<file path=xl/sharedStrings.xml><?xml version="1.0" encoding="utf-8"?>
<sst xmlns="http://schemas.openxmlformats.org/spreadsheetml/2006/main" count="422" uniqueCount="115">
  <si>
    <t>Employee_ID</t>
  </si>
  <si>
    <t>Name</t>
  </si>
  <si>
    <t>Age</t>
  </si>
  <si>
    <t>Gender</t>
  </si>
  <si>
    <t>Job_Role</t>
  </si>
  <si>
    <t>Work_Mode</t>
  </si>
  <si>
    <t>Hours_Worked_Per_Week</t>
  </si>
  <si>
    <t>Productivity_Score</t>
  </si>
  <si>
    <t>Mental_Health_Status</t>
  </si>
  <si>
    <t>Burnout_Score</t>
  </si>
  <si>
    <t>Sleep_Hours_Per_Day</t>
  </si>
  <si>
    <t>Work_Life_Balance_Rating</t>
  </si>
  <si>
    <t>Female</t>
  </si>
  <si>
    <t>QA Engineer</t>
  </si>
  <si>
    <t>Poor</t>
  </si>
  <si>
    <t>User_2</t>
  </si>
  <si>
    <t>Prefer not to say</t>
  </si>
  <si>
    <t>DevOps Engineer</t>
  </si>
  <si>
    <t>Remote</t>
  </si>
  <si>
    <t>Good</t>
  </si>
  <si>
    <t>Male</t>
  </si>
  <si>
    <t>UI/UX Designer</t>
  </si>
  <si>
    <t>Product Manager</t>
  </si>
  <si>
    <t>Moderate</t>
  </si>
  <si>
    <t>User_6</t>
  </si>
  <si>
    <t>Non-binary</t>
  </si>
  <si>
    <t>User_9</t>
  </si>
  <si>
    <t>User_11</t>
  </si>
  <si>
    <t>Data Scientist</t>
  </si>
  <si>
    <t>User_14</t>
  </si>
  <si>
    <t>Developer</t>
  </si>
  <si>
    <t>User_19</t>
  </si>
  <si>
    <t>User_26</t>
  </si>
  <si>
    <t>User_27</t>
  </si>
  <si>
    <t>User_28</t>
  </si>
  <si>
    <t>User_31</t>
  </si>
  <si>
    <t>User_35</t>
  </si>
  <si>
    <t>User_36</t>
  </si>
  <si>
    <t>User_37</t>
  </si>
  <si>
    <t>User_40</t>
  </si>
  <si>
    <t>User_42</t>
  </si>
  <si>
    <t>User_43</t>
  </si>
  <si>
    <t>User_46</t>
  </si>
  <si>
    <t>User_47</t>
  </si>
  <si>
    <t>User_51</t>
  </si>
  <si>
    <t>User_56</t>
  </si>
  <si>
    <t>User_58</t>
  </si>
  <si>
    <t>User_65</t>
  </si>
  <si>
    <t>User_68</t>
  </si>
  <si>
    <t>User_70</t>
  </si>
  <si>
    <t>User_72</t>
  </si>
  <si>
    <t>User_73</t>
  </si>
  <si>
    <t>User_74</t>
  </si>
  <si>
    <t>User_75</t>
  </si>
  <si>
    <t>User_76</t>
  </si>
  <si>
    <t>User_78</t>
  </si>
  <si>
    <t>User_79</t>
  </si>
  <si>
    <t>User_81</t>
  </si>
  <si>
    <t>User_84</t>
  </si>
  <si>
    <t>User_88</t>
  </si>
  <si>
    <t>User_89</t>
  </si>
  <si>
    <t>User_91</t>
  </si>
  <si>
    <t>User_93</t>
  </si>
  <si>
    <t>User_95</t>
  </si>
  <si>
    <t>User_97</t>
  </si>
  <si>
    <t>User_98</t>
  </si>
  <si>
    <t>User_100</t>
  </si>
  <si>
    <t>Row Labels</t>
  </si>
  <si>
    <t>Grand Total</t>
  </si>
  <si>
    <t>Average of Burnout_Score</t>
  </si>
  <si>
    <t>Anova: Single Factor</t>
  </si>
  <si>
    <t>SUMMARY</t>
  </si>
  <si>
    <t>Groups</t>
  </si>
  <si>
    <t>Count</t>
  </si>
  <si>
    <t>Sum</t>
  </si>
  <si>
    <t>Average</t>
  </si>
  <si>
    <t>Variance</t>
  </si>
  <si>
    <t>ANOVA</t>
  </si>
  <si>
    <t>Source of Variation</t>
  </si>
  <si>
    <t>SS</t>
  </si>
  <si>
    <t>df</t>
  </si>
  <si>
    <t>MS</t>
  </si>
  <si>
    <t>F</t>
  </si>
  <si>
    <t>P-value</t>
  </si>
  <si>
    <t>F crit</t>
  </si>
  <si>
    <t>Between Groups</t>
  </si>
  <si>
    <t>Within Groups</t>
  </si>
  <si>
    <t>Total</t>
  </si>
  <si>
    <t>Burnout_level</t>
  </si>
  <si>
    <t>Medium</t>
  </si>
  <si>
    <t>Low</t>
  </si>
  <si>
    <t>High</t>
  </si>
  <si>
    <t>ANSWER ONE</t>
  </si>
  <si>
    <t>33.4-38.4</t>
  </si>
  <si>
    <t>38.4-43.4</t>
  </si>
  <si>
    <t>43.4-48.4</t>
  </si>
  <si>
    <t>48.4-53.4</t>
  </si>
  <si>
    <t>ANSWER TWO</t>
  </si>
  <si>
    <t>Average of Productivity_Score</t>
  </si>
  <si>
    <t>Column Labels</t>
  </si>
  <si>
    <t>ANSWER THREE</t>
  </si>
  <si>
    <t>Anova: Two-Factor Without Replication</t>
  </si>
  <si>
    <t>Rows</t>
  </si>
  <si>
    <t>Columns</t>
  </si>
  <si>
    <t>Error</t>
  </si>
  <si>
    <t>Mental health status/Burnout level</t>
  </si>
  <si>
    <t>Average of Sleep_Hours_Per_Day</t>
  </si>
  <si>
    <t xml:space="preserve">Good </t>
  </si>
  <si>
    <t>ANSWER FOUR</t>
  </si>
  <si>
    <t>ANSWER FIVE</t>
  </si>
  <si>
    <t>Hours worked/burnour score</t>
  </si>
  <si>
    <t>% of Mental_Health_Status</t>
  </si>
  <si>
    <t xml:space="preserve">  </t>
  </si>
  <si>
    <t>(All)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</si>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</sst>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i/>
      <sz val="11"/>
      <color theme="1"/>
      <name val="Calibri"/>
      <family val="2"/>
      <scheme val="minor"/>
    </font>
    <font>
      <b/>
      <sz val="14"/>
      <color theme="1"/>
      <name val="Calibri"/>
      <family val="2"/>
      <scheme val="minor"/>
    </font>
  </fonts>
  <fills count="2">
    <fill>
      <patternFill patternType="none"/>
    </fill>
    <fill>
      <patternFill patternType="gray125"/>
    </fill>
  </fills>
  <borders count="4">
    <border>
      <left/>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Fill="1" applyBorder="1" applyAlignment="1"/>
    <xf numFmtId="0" fontId="0" fillId="0" borderId="1" xfId="0" applyFill="1" applyBorder="1" applyAlignment="1"/>
    <xf numFmtId="0" fontId="1" fillId="0" borderId="2" xfId="0" applyFont="1" applyFill="1" applyBorder="1" applyAlignment="1">
      <alignment horizontal="center"/>
    </xf>
    <xf numFmtId="0" fontId="0" fillId="0" borderId="3" xfId="0" applyBorder="1"/>
    <xf numFmtId="0" fontId="0" fillId="0" borderId="3" xfId="0" applyBorder="1" applyAlignment="1">
      <alignment horizontal="left"/>
    </xf>
    <xf numFmtId="0" fontId="0" fillId="0" borderId="3" xfId="0" applyBorder="1" applyAlignment="1">
      <alignment wrapText="1"/>
    </xf>
    <xf numFmtId="10" fontId="0" fillId="0" borderId="0" xfId="0" applyNumberFormat="1"/>
    <xf numFmtId="0" fontId="0" fillId="0" borderId="0" xfId="0" applyAlignment="1">
      <alignment vertical="top"/>
    </xf>
    <xf numFmtId="0" fontId="2" fillId="0" borderId="0" xfId="0" applyFont="1" applyAlignment="1">
      <alignment horizontal="center"/>
    </xf>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[EMMANUEL OMAMOGHO PROJECT.xlsx]ANALYSIS!PivotTable2</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Average burnout score by hours worked per week</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c:f>
              <c:strCache>
                <c:ptCount val="1"/>
                <c:pt idx="0">
                  <c:v>Total</c:v>
                </c:pt>
              </c:strCache>
            </c:strRef>
          </c:tx>
          <c:spPr>
            <a:solidFill>
              <a:schemeClr val="accent1"/>
            </a:solidFill>
            <a:ln>
              <a:noFill/>
            </a:ln>
            <a:effectLst/>
          </c:spPr>
          <c:invertIfNegative val="0"/>
          <c:cat>
            <c:strRef>
              <c:f>ANALYSIS!$A$6:$A$10</c:f>
              <c:strCache>
                <c:ptCount val="4"/>
                <c:pt idx="0">
                  <c:v>33.4-38.4</c:v>
                </c:pt>
                <c:pt idx="1">
                  <c:v>38.4-43.4</c:v>
                </c:pt>
                <c:pt idx="2">
                  <c:v>43.4-48.4</c:v>
                </c:pt>
                <c:pt idx="3">
                  <c:v>48.4-53.4</c:v>
                </c:pt>
              </c:strCache>
            </c:strRef>
          </c:cat>
          <c:val>
            <c:numRef>
              <c:f>ANALYSIS!$B$6:$B$10</c:f>
              <c:numCache>
                <c:formatCode>General</c:formatCode>
                <c:ptCount val="4"/>
                <c:pt idx="0">
                  <c:v>46.222222222222221</c:v>
                </c:pt>
                <c:pt idx="1">
                  <c:v>59</c:v>
                </c:pt>
                <c:pt idx="2">
                  <c:v>51</c:v>
                </c:pt>
                <c:pt idx="3">
                  <c:v>42.8</c:v>
                </c:pt>
              </c:numCache>
            </c:numRef>
          </c:val>
          <c:extLst>
            <c:ext xmlns:c16="http://schemas.microsoft.com/office/drawing/2014/chart" uri="{C3380CC4-5D6E-409C-BE32-E72D297353CC}">
              <c16:uniqueId val="{00000000-5DB5-45F7-8436-FB5D8747795F}"/>
            </c:ext>
          </c:extLst>
        </c:ser>
        <c:dLbls>
          <c:showLegendKey val="0"/>
          <c:showVal val="0"/>
          <c:showCatName val="0"/>
          <c:showSerName val="0"/>
          <c:showPercent val="0"/>
          <c:showBubbleSize val="0"/>
        </c:dLbls>
        <c:gapWidth val="219"/>
        <c:overlap val="-27"/>
        <c:axId val="626608751"/>
        <c:axId val="626609999"/>
      </c:barChart>
      <c:catAx>
        <c:axId val="626608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609999"/>
        <c:crosses val="autoZero"/>
        <c:auto val="1"/>
        <c:lblAlgn val="ctr"/>
        <c:lblOffset val="100"/>
        <c:noMultiLvlLbl val="0"/>
      </c:catAx>
      <c:valAx>
        <c:axId val="62660999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608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[EMMANUEL OMAMOGHO PROJECT.xlsx]ANALYSIS!PivotTable3</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Job Role by % Mental Health Status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ANALYSIS!$B$27</c:f>
              <c:strCache>
                <c:ptCount val="1"/>
                <c:pt idx="0">
                  <c:v>Total</c:v>
                </c:pt>
              </c:strCache>
            </c:strRef>
          </c:tx>
          <c:spPr>
            <a:solidFill>
              <a:schemeClr val="accent1"/>
            </a:solidFill>
            <a:ln>
              <a:noFill/>
            </a:ln>
            <a:effectLst/>
          </c:spPr>
          <c:invertIfNegative val="0"/>
          <c:cat>
            <c:strRef>
              <c:f>ANALYSIS!$A$28:$A$34</c:f>
              <c:strCache>
                <c:ptCount val="6"/>
                <c:pt idx="0">
                  <c:v>Data Scientist</c:v>
                </c:pt>
                <c:pt idx="1">
                  <c:v>Developer</c:v>
                </c:pt>
                <c:pt idx="2">
                  <c:v>DevOps Engineer</c:v>
                </c:pt>
                <c:pt idx="3">
                  <c:v>Product Manager</c:v>
                </c:pt>
                <c:pt idx="4">
                  <c:v>QA Engineer</c:v>
                </c:pt>
                <c:pt idx="5">
                  <c:v>UI/UX Designer</c:v>
                </c:pt>
              </c:strCache>
            </c:strRef>
          </c:cat>
          <c:val>
            <c:numRef>
              <c:f>ANALYSIS!$B$28:$B$34</c:f>
              <c:numCache>
                <c:formatCode>0.00%</c:formatCode>
                <c:ptCount val="6"/>
                <c:pt idx="0">
                  <c:v>7.3170731707317069E-2</c:v>
                </c:pt>
                <c:pt idx="1">
                  <c:v>0.21951219512195122</c:v>
                </c:pt>
                <c:pt idx="2">
                  <c:v>0.17073170731707318</c:v>
                </c:pt>
                <c:pt idx="3">
                  <c:v>0.12195121951219512</c:v>
                </c:pt>
                <c:pt idx="4">
                  <c:v>0.26829268292682928</c:v>
                </c:pt>
                <c:pt idx="5">
                  <c:v>0.14634146341463414</c:v>
                </c:pt>
              </c:numCache>
            </c:numRef>
          </c:val>
          <c:extLst>
            <c:ext xmlns:c16="http://schemas.microsoft.com/office/drawing/2014/chart" uri="{C3380CC4-5D6E-409C-BE32-E72D297353CC}">
              <c16:uniqueId val="{00000000-6F58-4582-8A17-C1B442AB8468}"/>
            </c:ext>
          </c:extLst>
        </c:ser>
        <c:dLbls>
          <c:showLegendKey val="0"/>
          <c:showVal val="0"/>
          <c:showCatName val="0"/>
          <c:showSerName val="0"/>
          <c:showPercent val="0"/>
          <c:showBubbleSize val="0"/>
        </c:dLbls>
        <c:gapWidth val="182"/>
        <c:axId val="249157791"/>
        <c:axId val="249155711"/>
      </c:barChart>
      <c:catAx>
        <c:axId val="2491577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155711"/>
        <c:crosses val="autoZero"/>
        <c:auto val="1"/>
        <c:lblAlgn val="ctr"/>
        <c:lblOffset val="100"/>
        <c:noMultiLvlLbl val="0"/>
      </c:catAx>
      <c:valAx>
        <c:axId val="249155711"/>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157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[EMMANUEL OMAMOGHO PROJECT.xlsx]ANALYSIS!PivotTable4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Productivity by Mental Health Status and Burnout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ANALYSIS!$B$53:$B$54</c:f>
              <c:strCache>
                <c:ptCount val="1"/>
                <c:pt idx="0">
                  <c:v>High</c:v>
                </c:pt>
              </c:strCache>
            </c:strRef>
          </c:tx>
          <c:spPr>
            <a:solidFill>
              <a:schemeClr val="accent1"/>
            </a:solidFill>
            <a:ln>
              <a:noFill/>
            </a:ln>
            <a:effectLst/>
          </c:spPr>
          <c:invertIfNegative val="0"/>
          <c:cat>
            <c:strRef>
              <c:f>ANALYSIS!$A$55:$A$58</c:f>
              <c:strCache>
                <c:ptCount val="3"/>
                <c:pt idx="0">
                  <c:v>Good</c:v>
                </c:pt>
                <c:pt idx="1">
                  <c:v>Moderate</c:v>
                </c:pt>
                <c:pt idx="2">
                  <c:v>Poor</c:v>
                </c:pt>
              </c:strCache>
            </c:strRef>
          </c:cat>
          <c:val>
            <c:numRef>
              <c:f>ANALYSIS!$B$55:$B$58</c:f>
              <c:numCache>
                <c:formatCode>General</c:formatCode>
                <c:ptCount val="3"/>
                <c:pt idx="0">
                  <c:v>6.0500000000000007</c:v>
                </c:pt>
                <c:pt idx="1">
                  <c:v>5.95</c:v>
                </c:pt>
                <c:pt idx="2">
                  <c:v>6.88</c:v>
                </c:pt>
              </c:numCache>
            </c:numRef>
          </c:val>
          <c:extLst>
            <c:ext xmlns:c16="http://schemas.microsoft.com/office/drawing/2014/chart" uri="{C3380CC4-5D6E-409C-BE32-E72D297353CC}">
              <c16:uniqueId val="{00000000-02DA-4318-ACFC-166745A634AC}"/>
            </c:ext>
          </c:extLst>
        </c:ser>
        <c:ser>
          <c:idx val="1"/>
          <c:order val="1"/>
          <c:tx>
            <c:strRef>
              <c:f>ANALYSIS!$C$53:$C$54</c:f>
              <c:strCache>
                <c:ptCount val="1"/>
                <c:pt idx="0">
                  <c:v>Low</c:v>
                </c:pt>
              </c:strCache>
            </c:strRef>
          </c:tx>
          <c:spPr>
            <a:solidFill>
              <a:schemeClr val="accent2"/>
            </a:solidFill>
            <a:ln>
              <a:noFill/>
            </a:ln>
            <a:effectLst/>
          </c:spPr>
          <c:invertIfNegative val="0"/>
          <c:cat>
            <c:strRef>
              <c:f>ANALYSIS!$A$55:$A$58</c:f>
              <c:strCache>
                <c:ptCount val="3"/>
                <c:pt idx="0">
                  <c:v>Good</c:v>
                </c:pt>
                <c:pt idx="1">
                  <c:v>Moderate</c:v>
                </c:pt>
                <c:pt idx="2">
                  <c:v>Poor</c:v>
                </c:pt>
              </c:strCache>
            </c:strRef>
          </c:cat>
          <c:val>
            <c:numRef>
              <c:f>ANALYSIS!$C$55:$C$58</c:f>
              <c:numCache>
                <c:formatCode>General</c:formatCode>
                <c:ptCount val="3"/>
                <c:pt idx="0">
                  <c:v>4</c:v>
                </c:pt>
                <c:pt idx="1">
                  <c:v>7.1571428571428575</c:v>
                </c:pt>
                <c:pt idx="2">
                  <c:v>4.95</c:v>
                </c:pt>
              </c:numCache>
            </c:numRef>
          </c:val>
          <c:extLst>
            <c:ext xmlns:c16="http://schemas.microsoft.com/office/drawing/2014/chart" uri="{C3380CC4-5D6E-409C-BE32-E72D297353CC}">
              <c16:uniqueId val="{00000002-0D97-46EA-9523-548014FDA16F}"/>
            </c:ext>
          </c:extLst>
        </c:ser>
        <c:ser>
          <c:idx val="2"/>
          <c:order val="2"/>
          <c:tx>
            <c:strRef>
              <c:f>ANALYSIS!$D$53:$D$54</c:f>
              <c:strCache>
                <c:ptCount val="1"/>
                <c:pt idx="0">
                  <c:v>Medium</c:v>
                </c:pt>
              </c:strCache>
            </c:strRef>
          </c:tx>
          <c:spPr>
            <a:solidFill>
              <a:schemeClr val="accent3"/>
            </a:solidFill>
            <a:ln>
              <a:noFill/>
            </a:ln>
            <a:effectLst/>
          </c:spPr>
          <c:invertIfNegative val="0"/>
          <c:cat>
            <c:strRef>
              <c:f>ANALYSIS!$A$55:$A$58</c:f>
              <c:strCache>
                <c:ptCount val="3"/>
                <c:pt idx="0">
                  <c:v>Good</c:v>
                </c:pt>
                <c:pt idx="1">
                  <c:v>Moderate</c:v>
                </c:pt>
                <c:pt idx="2">
                  <c:v>Poor</c:v>
                </c:pt>
              </c:strCache>
            </c:strRef>
          </c:cat>
          <c:val>
            <c:numRef>
              <c:f>ANALYSIS!$D$55:$D$58</c:f>
              <c:numCache>
                <c:formatCode>General</c:formatCode>
                <c:ptCount val="3"/>
                <c:pt idx="0">
                  <c:v>5.75</c:v>
                </c:pt>
                <c:pt idx="1">
                  <c:v>6.7250000000000005</c:v>
                </c:pt>
                <c:pt idx="2">
                  <c:v>5.75</c:v>
                </c:pt>
              </c:numCache>
            </c:numRef>
          </c:val>
          <c:extLst>
            <c:ext xmlns:c16="http://schemas.microsoft.com/office/drawing/2014/chart" uri="{C3380CC4-5D6E-409C-BE32-E72D297353CC}">
              <c16:uniqueId val="{00000004-0D97-46EA-9523-548014FDA16F}"/>
            </c:ext>
          </c:extLst>
        </c:ser>
        <c:dLbls>
          <c:showLegendKey val="0"/>
          <c:showVal val="0"/>
          <c:showCatName val="0"/>
          <c:showSerName val="0"/>
          <c:showPercent val="0"/>
          <c:showBubbleSize val="0"/>
        </c:dLbls>
        <c:gapWidth val="219"/>
        <c:overlap val="-27"/>
        <c:axId val="1132358927"/>
        <c:axId val="1132359343"/>
      </c:barChart>
      <c:catAx>
        <c:axId val="113235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359343"/>
        <c:crosses val="autoZero"/>
        <c:auto val="1"/>
        <c:lblAlgn val="ctr"/>
        <c:lblOffset val="100"/>
        <c:noMultiLvlLbl val="0"/>
      </c:catAx>
      <c:valAx>
        <c:axId val="113235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35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[EMMANUEL OMAMOGHO PROJECT.xlsx]ANALYSIS!PivotTable5</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Average of Sleep Hours Per Day by Mental Health Status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ANALYSIS!$B$92</c:f>
              <c:strCache>
                <c:ptCount val="1"/>
                <c:pt idx="0">
                  <c:v>Total</c:v>
                </c:pt>
              </c:strCache>
            </c:strRef>
          </c:tx>
          <c:spPr>
            <a:solidFill>
              <a:schemeClr val="accent1"/>
            </a:solidFill>
            <a:ln>
              <a:noFill/>
            </a:ln>
            <a:effectLst/>
          </c:spPr>
          <c:invertIfNegative val="0"/>
          <c:cat>
            <c:strRef>
              <c:f>ANALYSIS!$A$93:$A$96</c:f>
              <c:strCache>
                <c:ptCount val="3"/>
                <c:pt idx="0">
                  <c:v>Good</c:v>
                </c:pt>
                <c:pt idx="1">
                  <c:v> </c:v>
                </c:pt>
                <c:pt idx="2">
                  <c:v>Poor</c:v>
                </c:pt>
              </c:strCache>
            </c:strRef>
          </c:cat>
          <c:val>
            <c:numRef>
              <c:f>ANALYSIS!$B$93:$B$96</c:f>
              <c:numCache>
                <c:formatCode>General</c:formatCode>
                <c:ptCount val="3"/>
                <c:pt idx="0">
                  <c:v>5.9454545454545444</c:v>
                </c:pt>
                <c:pt idx="1">
                  <c:v>6.3599999999999994</c:v>
                </c:pt>
                <c:pt idx="2">
                  <c:v>7.0666666666666664</c:v>
                </c:pt>
              </c:numCache>
            </c:numRef>
          </c:val>
          <c:extLst>
            <c:ext xmlns:c16="http://schemas.microsoft.com/office/drawing/2014/chart" uri="{C3380CC4-5D6E-409C-BE32-E72D297353CC}">
              <c16:uniqueId val="{00000000-A84D-40A8-97F0-3A5D96FCC9A2}"/>
            </c:ext>
          </c:extLst>
        </c:ser>
        <c:dLbls>
          <c:showLegendKey val="0"/>
          <c:showVal val="0"/>
          <c:showCatName val="0"/>
          <c:showSerName val="0"/>
          <c:showPercent val="0"/>
          <c:showBubbleSize val="0"/>
        </c:dLbls>
        <c:gapWidth val="219"/>
        <c:overlap val="-27"/>
        <c:axId val="1268148847"/>
        <c:axId val="1268149263"/>
      </c:barChart>
      <c:catAx>
        <c:axId val="126814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149263"/>
        <c:crosses val="autoZero"/>
        <c:auto val="1"/>
        <c:lblAlgn val="ctr"/>
        <c:lblOffset val="100"/>
        <c:noMultiLvlLbl val="0"/>
      </c:catAx>
      <c:valAx>
        <c:axId val="1268149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148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[EMMANUEL OMAMOGHO PROJECT.xlsx]ANALYSIS!PivotTable8</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Average of Burnout Score by Job Role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ANALYSIS!$B$130</c:f>
              <c:strCache>
                <c:ptCount val="1"/>
                <c:pt idx="0">
                  <c:v>Total</c:v>
                </c:pt>
              </c:strCache>
            </c:strRef>
          </c:tx>
          <c:spPr>
            <a:solidFill>
              <a:schemeClr val="accent1"/>
            </a:solidFill>
            <a:ln>
              <a:noFill/>
            </a:ln>
            <a:effectLst/>
          </c:spPr>
          <c:invertIfNegative val="0"/>
          <c:cat>
            <c:strRef>
              <c:f>ANALYSIS!$A$131:$A$137</c:f>
              <c:strCache>
                <c:ptCount val="6"/>
                <c:pt idx="0">
                  <c:v>Data Scientist</c:v>
                </c:pt>
                <c:pt idx="1">
                  <c:v>Developer</c:v>
                </c:pt>
                <c:pt idx="2">
                  <c:v>DevOps Engineer</c:v>
                </c:pt>
                <c:pt idx="3">
                  <c:v>Product Manager</c:v>
                </c:pt>
                <c:pt idx="4">
                  <c:v>QA Engineer</c:v>
                </c:pt>
                <c:pt idx="5">
                  <c:v>UI/UX Designer</c:v>
                </c:pt>
              </c:strCache>
            </c:strRef>
          </c:cat>
          <c:val>
            <c:numRef>
              <c:f>ANALYSIS!$B$131:$B$137</c:f>
              <c:numCache>
                <c:formatCode>General</c:formatCode>
                <c:ptCount val="6"/>
                <c:pt idx="0">
                  <c:v>48.666666666666664</c:v>
                </c:pt>
                <c:pt idx="1">
                  <c:v>57.111111111111114</c:v>
                </c:pt>
                <c:pt idx="2">
                  <c:v>51.571428571428569</c:v>
                </c:pt>
                <c:pt idx="3">
                  <c:v>60</c:v>
                </c:pt>
                <c:pt idx="4">
                  <c:v>44.272727272727273</c:v>
                </c:pt>
                <c:pt idx="5">
                  <c:v>50.5</c:v>
                </c:pt>
              </c:numCache>
            </c:numRef>
          </c:val>
          <c:extLst>
            <c:ext xmlns:c16="http://schemas.microsoft.com/office/drawing/2014/chart" uri="{C3380CC4-5D6E-409C-BE32-E72D297353CC}">
              <c16:uniqueId val="{00000000-C4ED-434C-BC67-CAB239D92802}"/>
            </c:ext>
          </c:extLst>
        </c:ser>
        <c:dLbls>
          <c:showLegendKey val="0"/>
          <c:showVal val="0"/>
          <c:showCatName val="0"/>
          <c:showSerName val="0"/>
          <c:showPercent val="0"/>
          <c:showBubbleSize val="0"/>
        </c:dLbls>
        <c:gapWidth val="219"/>
        <c:overlap val="-27"/>
        <c:axId val="1146232031"/>
        <c:axId val="1146233695"/>
      </c:barChart>
      <c:catAx>
        <c:axId val="114623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233695"/>
        <c:crosses val="autoZero"/>
        <c:auto val="1"/>
        <c:lblAlgn val="ctr"/>
        <c:lblOffset val="100"/>
        <c:noMultiLvlLbl val="0"/>
      </c:catAx>
      <c:valAx>
        <c:axId val="1146233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232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[EMMANUEL OMAMOGHO PROJECT.xlsx]ANALYSIS!PivotTable2</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Average Burnout Score by Hours Worked per Week</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c:f>
              <c:strCache>
                <c:ptCount val="1"/>
                <c:pt idx="0">
                  <c:v>Total</c:v>
                </c:pt>
              </c:strCache>
            </c:strRef>
          </c:tx>
          <c:spPr>
            <a:solidFill>
              <a:schemeClr val="accent1"/>
            </a:solidFill>
            <a:ln>
              <a:noFill/>
            </a:ln>
            <a:effectLst/>
          </c:spPr>
          <c:invertIfNegative val="0"/>
          <c:cat>
            <c:strRef>
              <c:f>ANALYSIS!$A$6:$A$10</c:f>
              <c:strCache>
                <c:ptCount val="4"/>
                <c:pt idx="0">
                  <c:v>33.4-38.4</c:v>
                </c:pt>
                <c:pt idx="1">
                  <c:v>38.4-43.4</c:v>
                </c:pt>
                <c:pt idx="2">
                  <c:v>43.4-48.4</c:v>
                </c:pt>
                <c:pt idx="3">
                  <c:v>48.4-53.4</c:v>
                </c:pt>
              </c:strCache>
            </c:strRef>
          </c:cat>
          <c:val>
            <c:numRef>
              <c:f>ANALYSIS!$B$6:$B$10</c:f>
              <c:numCache>
                <c:formatCode>General</c:formatCode>
                <c:ptCount val="4"/>
                <c:pt idx="0">
                  <c:v>46.222222222222221</c:v>
                </c:pt>
                <c:pt idx="1">
                  <c:v>59</c:v>
                </c:pt>
                <c:pt idx="2">
                  <c:v>51</c:v>
                </c:pt>
                <c:pt idx="3">
                  <c:v>42.8</c:v>
                </c:pt>
              </c:numCache>
            </c:numRef>
          </c:val>
          <c:extLst>
            <c:ext xmlns:c16="http://schemas.microsoft.com/office/drawing/2014/chart" uri="{C3380CC4-5D6E-409C-BE32-E72D297353CC}">
              <c16:uniqueId val="{00000000-2D54-459F-9750-1F5ACB76B3BD}"/>
            </c:ext>
          </c:extLst>
        </c:ser>
        <c:dLbls>
          <c:showLegendKey val="0"/>
          <c:showVal val="0"/>
          <c:showCatName val="0"/>
          <c:showSerName val="0"/>
          <c:showPercent val="0"/>
          <c:showBubbleSize val="0"/>
        </c:dLbls>
        <c:gapWidth val="219"/>
        <c:overlap val="-27"/>
        <c:axId val="626608751"/>
        <c:axId val="626609999"/>
      </c:barChart>
      <c:catAx>
        <c:axId val="62660875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Hours worked per week</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609999"/>
        <c:crosses val="autoZero"/>
        <c:auto val="1"/>
        <c:lblAlgn val="ctr"/>
        <c:lblOffset val="100"/>
        <c:noMultiLvlLbl val="0"/>
      </c:catAx>
      <c:valAx>
        <c:axId val="626609999"/>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Average burnout score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608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[EMMANUEL OMAMOGHO PROJECT.xlsx]ANALYSIS!PivotTable3</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Job Role by Percentage Mental Health Status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ANALYSIS!$B$27</c:f>
              <c:strCache>
                <c:ptCount val="1"/>
                <c:pt idx="0">
                  <c:v>Total</c:v>
                </c:pt>
              </c:strCache>
            </c:strRef>
          </c:tx>
          <c:spPr>
            <a:solidFill>
              <a:schemeClr val="accent1"/>
            </a:solidFill>
            <a:ln>
              <a:noFill/>
            </a:ln>
            <a:effectLst/>
          </c:spPr>
          <c:invertIfNegative val="0"/>
          <c:cat>
            <c:strRef>
              <c:f>ANALYSIS!$A$28:$A$34</c:f>
              <c:strCache>
                <c:ptCount val="6"/>
                <c:pt idx="0">
                  <c:v>Data Scientist</c:v>
                </c:pt>
                <c:pt idx="1">
                  <c:v>Developer</c:v>
                </c:pt>
                <c:pt idx="2">
                  <c:v>DevOps Engineer</c:v>
                </c:pt>
                <c:pt idx="3">
                  <c:v>Product Manager</c:v>
                </c:pt>
                <c:pt idx="4">
                  <c:v>QA Engineer</c:v>
                </c:pt>
                <c:pt idx="5">
                  <c:v>UI/UX Designer</c:v>
                </c:pt>
              </c:strCache>
            </c:strRef>
          </c:cat>
          <c:val>
            <c:numRef>
              <c:f>ANALYSIS!$B$28:$B$34</c:f>
              <c:numCache>
                <c:formatCode>0.00%</c:formatCode>
                <c:ptCount val="6"/>
                <c:pt idx="0">
                  <c:v>7.3170731707317069E-2</c:v>
                </c:pt>
                <c:pt idx="1">
                  <c:v>0.21951219512195122</c:v>
                </c:pt>
                <c:pt idx="2">
                  <c:v>0.17073170731707318</c:v>
                </c:pt>
                <c:pt idx="3">
                  <c:v>0.12195121951219512</c:v>
                </c:pt>
                <c:pt idx="4">
                  <c:v>0.26829268292682928</c:v>
                </c:pt>
                <c:pt idx="5">
                  <c:v>0.14634146341463414</c:v>
                </c:pt>
              </c:numCache>
            </c:numRef>
          </c:val>
          <c:extLst>
            <c:ext xmlns:c16="http://schemas.microsoft.com/office/drawing/2014/chart" uri="{C3380CC4-5D6E-409C-BE32-E72D297353CC}">
              <c16:uniqueId val="{00000000-418C-43FB-A83A-7E144CB21920}"/>
            </c:ext>
          </c:extLst>
        </c:ser>
        <c:dLbls>
          <c:showLegendKey val="0"/>
          <c:showVal val="0"/>
          <c:showCatName val="0"/>
          <c:showSerName val="0"/>
          <c:showPercent val="0"/>
          <c:showBubbleSize val="0"/>
        </c:dLbls>
        <c:gapWidth val="182"/>
        <c:axId val="249157791"/>
        <c:axId val="249155711"/>
      </c:barChart>
      <c:catAx>
        <c:axId val="249157791"/>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Job role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155711"/>
        <c:crosses val="autoZero"/>
        <c:auto val="1"/>
        <c:lblAlgn val="ctr"/>
        <c:lblOffset val="100"/>
        <c:noMultiLvlLbl val="0"/>
      </c:catAx>
      <c:valAx>
        <c:axId val="24915571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 Mental health status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157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[EMMANUEL OMAMOGHO PROJECT.xlsx]ANALYSIS!PivotTable5</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Average of Sleep Hours Per Day by Mental Health Status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ANALYSIS!$B$92</c:f>
              <c:strCache>
                <c:ptCount val="1"/>
                <c:pt idx="0">
                  <c:v>Total</c:v>
                </c:pt>
              </c:strCache>
            </c:strRef>
          </c:tx>
          <c:spPr>
            <a:solidFill>
              <a:schemeClr val="accent1"/>
            </a:solidFill>
            <a:ln>
              <a:noFill/>
            </a:ln>
            <a:effectLst/>
          </c:spPr>
          <c:invertIfNegative val="0"/>
          <c:cat>
            <c:strRef>
              <c:f>ANALYSIS!$A$93:$A$96</c:f>
              <c:strCache>
                <c:ptCount val="3"/>
                <c:pt idx="0">
                  <c:v>Good</c:v>
                </c:pt>
                <c:pt idx="1">
                  <c:v> </c:v>
                </c:pt>
                <c:pt idx="2">
                  <c:v>Poor</c:v>
                </c:pt>
              </c:strCache>
            </c:strRef>
          </c:cat>
          <c:val>
            <c:numRef>
              <c:f>ANALYSIS!$B$93:$B$96</c:f>
              <c:numCache>
                <c:formatCode>General</c:formatCode>
                <c:ptCount val="3"/>
                <c:pt idx="0">
                  <c:v>5.9454545454545444</c:v>
                </c:pt>
                <c:pt idx="1">
                  <c:v>6.3599999999999994</c:v>
                </c:pt>
                <c:pt idx="2">
                  <c:v>7.0666666666666664</c:v>
                </c:pt>
              </c:numCache>
            </c:numRef>
          </c:val>
          <c:extLst>
            <c:ext xmlns:c16="http://schemas.microsoft.com/office/drawing/2014/chart" uri="{C3380CC4-5D6E-409C-BE32-E72D297353CC}">
              <c16:uniqueId val="{00000000-1800-4EB2-B369-5093F3533574}"/>
            </c:ext>
          </c:extLst>
        </c:ser>
        <c:dLbls>
          <c:showLegendKey val="0"/>
          <c:showVal val="0"/>
          <c:showCatName val="0"/>
          <c:showSerName val="0"/>
          <c:showPercent val="0"/>
          <c:showBubbleSize val="0"/>
        </c:dLbls>
        <c:gapWidth val="219"/>
        <c:overlap val="-27"/>
        <c:axId val="1268148847"/>
        <c:axId val="1268149263"/>
      </c:barChart>
      <c:catAx>
        <c:axId val="126814884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Mental health status</a:t>
                </a:r>
              </a:p>
            </c:rich>
          </c:tx>
          <c:layout>
            <c:manualLayout>
              <c:xMode val="edge"/>
              <c:yMode val="edge"/>
              <c:x val="0.45336781714369068"/>
              <c:y val="0.8361888241097715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149263"/>
        <c:crosses val="autoZero"/>
        <c:auto val="1"/>
        <c:lblAlgn val="ctr"/>
        <c:lblOffset val="100"/>
        <c:noMultiLvlLbl val="0"/>
      </c:catAx>
      <c:valAx>
        <c:axId val="126814926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Average of sleep hours per day</a:t>
                </a:r>
              </a:p>
            </c:rich>
          </c:tx>
          <c:layout>
            <c:manualLayout>
              <c:xMode val="edge"/>
              <c:yMode val="edge"/>
              <c:x val="2.3368742191251995E-2"/>
              <c:y val="0.2326190337461877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148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[EMMANUEL OMAMOGHO PROJECT.xlsx]ANALYSIS!PivotTable8</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Average of Burnout Score by Job Role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ANALYSIS!$B$130</c:f>
              <c:strCache>
                <c:ptCount val="1"/>
                <c:pt idx="0">
                  <c:v>Total</c:v>
                </c:pt>
              </c:strCache>
            </c:strRef>
          </c:tx>
          <c:spPr>
            <a:solidFill>
              <a:schemeClr val="accent1"/>
            </a:solidFill>
            <a:ln>
              <a:noFill/>
            </a:ln>
            <a:effectLst/>
          </c:spPr>
          <c:invertIfNegative val="0"/>
          <c:cat>
            <c:strRef>
              <c:f>ANALYSIS!$A$131:$A$137</c:f>
              <c:strCache>
                <c:ptCount val="6"/>
                <c:pt idx="0">
                  <c:v>Data Scientist</c:v>
                </c:pt>
                <c:pt idx="1">
                  <c:v>Developer</c:v>
                </c:pt>
                <c:pt idx="2">
                  <c:v>DevOps Engineer</c:v>
                </c:pt>
                <c:pt idx="3">
                  <c:v>Product Manager</c:v>
                </c:pt>
                <c:pt idx="4">
                  <c:v>QA Engineer</c:v>
                </c:pt>
                <c:pt idx="5">
                  <c:v>UI/UX Designer</c:v>
                </c:pt>
              </c:strCache>
            </c:strRef>
          </c:cat>
          <c:val>
            <c:numRef>
              <c:f>ANALYSIS!$B$131:$B$137</c:f>
              <c:numCache>
                <c:formatCode>General</c:formatCode>
                <c:ptCount val="6"/>
                <c:pt idx="0">
                  <c:v>48.666666666666664</c:v>
                </c:pt>
                <c:pt idx="1">
                  <c:v>57.111111111111114</c:v>
                </c:pt>
                <c:pt idx="2">
                  <c:v>51.571428571428569</c:v>
                </c:pt>
                <c:pt idx="3">
                  <c:v>60</c:v>
                </c:pt>
                <c:pt idx="4">
                  <c:v>44.272727272727273</c:v>
                </c:pt>
                <c:pt idx="5">
                  <c:v>50.5</c:v>
                </c:pt>
              </c:numCache>
            </c:numRef>
          </c:val>
          <c:extLst>
            <c:ext xmlns:c16="http://schemas.microsoft.com/office/drawing/2014/chart" uri="{C3380CC4-5D6E-409C-BE32-E72D297353CC}">
              <c16:uniqueId val="{00000000-FA57-4B2F-B55B-E3754007F45C}"/>
            </c:ext>
          </c:extLst>
        </c:ser>
        <c:dLbls>
          <c:showLegendKey val="0"/>
          <c:showVal val="0"/>
          <c:showCatName val="0"/>
          <c:showSerName val="0"/>
          <c:showPercent val="0"/>
          <c:showBubbleSize val="0"/>
        </c:dLbls>
        <c:gapWidth val="219"/>
        <c:overlap val="-27"/>
        <c:axId val="1146232031"/>
        <c:axId val="1146233695"/>
      </c:barChart>
      <c:catAx>
        <c:axId val="114623203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Jobe role</a:t>
                </a:r>
              </a:p>
            </c:rich>
          </c:tx>
          <c:layout>
            <c:manualLayout>
              <c:xMode val="edge"/>
              <c:yMode val="edge"/>
              <c:x val="0.48260790225473532"/>
              <c:y val="0.8213532238033602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233695"/>
        <c:crosses val="autoZero"/>
        <c:auto val="1"/>
        <c:lblAlgn val="ctr"/>
        <c:lblOffset val="100"/>
        <c:noMultiLvlLbl val="0"/>
      </c:catAx>
      <c:valAx>
        <c:axId val="114623369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Average of burnout score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232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[EMMANUEL OMAMOGHO PROJECT.xlsx]ANALYSIS!PivotTable4</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Average of Productivity by Mental Health Status and Burnout Level</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ANALYSIS!$B$53:$B$54</c:f>
              <c:strCache>
                <c:ptCount val="1"/>
                <c:pt idx="0">
                  <c:v>High</c:v>
                </c:pt>
              </c:strCache>
            </c:strRef>
          </c:tx>
          <c:spPr>
            <a:solidFill>
              <a:schemeClr val="accent1"/>
            </a:solidFill>
            <a:ln>
              <a:noFill/>
            </a:ln>
            <a:effectLst/>
          </c:spPr>
          <c:invertIfNegative val="0"/>
          <c:cat>
            <c:strRef>
              <c:f>ANALYSIS!$A$55:$A$58</c:f>
              <c:strCache>
                <c:ptCount val="3"/>
                <c:pt idx="0">
                  <c:v>Good</c:v>
                </c:pt>
                <c:pt idx="1">
                  <c:v>Moderate</c:v>
                </c:pt>
                <c:pt idx="2">
                  <c:v>Poor</c:v>
                </c:pt>
              </c:strCache>
            </c:strRef>
          </c:cat>
          <c:val>
            <c:numRef>
              <c:f>ANALYSIS!$B$55:$B$58</c:f>
              <c:numCache>
                <c:formatCode>General</c:formatCode>
                <c:ptCount val="3"/>
                <c:pt idx="0">
                  <c:v>6.0500000000000007</c:v>
                </c:pt>
                <c:pt idx="1">
                  <c:v>5.95</c:v>
                </c:pt>
                <c:pt idx="2">
                  <c:v>6.88</c:v>
                </c:pt>
              </c:numCache>
            </c:numRef>
          </c:val>
          <c:extLst>
            <c:ext xmlns:c16="http://schemas.microsoft.com/office/drawing/2014/chart" uri="{C3380CC4-5D6E-409C-BE32-E72D297353CC}">
              <c16:uniqueId val="{00000000-04A5-48B9-AA7D-D93E9E8A55FF}"/>
            </c:ext>
          </c:extLst>
        </c:ser>
        <c:ser>
          <c:idx val="1"/>
          <c:order val="1"/>
          <c:tx>
            <c:strRef>
              <c:f>ANALYSIS!$C$53:$C$54</c:f>
              <c:strCache>
                <c:ptCount val="1"/>
                <c:pt idx="0">
                  <c:v>Low</c:v>
                </c:pt>
              </c:strCache>
            </c:strRef>
          </c:tx>
          <c:spPr>
            <a:solidFill>
              <a:schemeClr val="accent2"/>
            </a:solidFill>
            <a:ln>
              <a:noFill/>
            </a:ln>
            <a:effectLst/>
          </c:spPr>
          <c:invertIfNegative val="0"/>
          <c:cat>
            <c:strRef>
              <c:f>ANALYSIS!$A$55:$A$58</c:f>
              <c:strCache>
                <c:ptCount val="3"/>
                <c:pt idx="0">
                  <c:v>Good</c:v>
                </c:pt>
                <c:pt idx="1">
                  <c:v>Moderate</c:v>
                </c:pt>
                <c:pt idx="2">
                  <c:v>Poor</c:v>
                </c:pt>
              </c:strCache>
            </c:strRef>
          </c:cat>
          <c:val>
            <c:numRef>
              <c:f>ANALYSIS!$C$55:$C$58</c:f>
              <c:numCache>
                <c:formatCode>General</c:formatCode>
                <c:ptCount val="3"/>
                <c:pt idx="0">
                  <c:v>4</c:v>
                </c:pt>
                <c:pt idx="1">
                  <c:v>7.1571428571428575</c:v>
                </c:pt>
                <c:pt idx="2">
                  <c:v>4.95</c:v>
                </c:pt>
              </c:numCache>
            </c:numRef>
          </c:val>
          <c:extLst>
            <c:ext xmlns:c16="http://schemas.microsoft.com/office/drawing/2014/chart" uri="{C3380CC4-5D6E-409C-BE32-E72D297353CC}">
              <c16:uniqueId val="{00000004-04A5-48B9-AA7D-D93E9E8A55FF}"/>
            </c:ext>
          </c:extLst>
        </c:ser>
        <c:ser>
          <c:idx val="2"/>
          <c:order val="2"/>
          <c:tx>
            <c:strRef>
              <c:f>ANALYSIS!$D$53:$D$54</c:f>
              <c:strCache>
                <c:ptCount val="1"/>
                <c:pt idx="0">
                  <c:v>Medium</c:v>
                </c:pt>
              </c:strCache>
            </c:strRef>
          </c:tx>
          <c:spPr>
            <a:solidFill>
              <a:schemeClr val="accent3"/>
            </a:solidFill>
            <a:ln>
              <a:noFill/>
            </a:ln>
            <a:effectLst/>
          </c:spPr>
          <c:invertIfNegative val="0"/>
          <c:cat>
            <c:strRef>
              <c:f>ANALYSIS!$A$55:$A$58</c:f>
              <c:strCache>
                <c:ptCount val="3"/>
                <c:pt idx="0">
                  <c:v>Good</c:v>
                </c:pt>
                <c:pt idx="1">
                  <c:v>Moderate</c:v>
                </c:pt>
                <c:pt idx="2">
                  <c:v>Poor</c:v>
                </c:pt>
              </c:strCache>
            </c:strRef>
          </c:cat>
          <c:val>
            <c:numRef>
              <c:f>ANALYSIS!$D$55:$D$58</c:f>
              <c:numCache>
                <c:formatCode>General</c:formatCode>
                <c:ptCount val="3"/>
                <c:pt idx="0">
                  <c:v>5.75</c:v>
                </c:pt>
                <c:pt idx="1">
                  <c:v>6.7250000000000005</c:v>
                </c:pt>
                <c:pt idx="2">
                  <c:v>5.75</c:v>
                </c:pt>
              </c:numCache>
            </c:numRef>
          </c:val>
          <c:extLst>
            <c:ext xmlns:c16="http://schemas.microsoft.com/office/drawing/2014/chart" uri="{C3380CC4-5D6E-409C-BE32-E72D297353CC}">
              <c16:uniqueId val="{00000006-04A5-48B9-AA7D-D93E9E8A55FF}"/>
            </c:ext>
          </c:extLst>
        </c:ser>
        <c:dLbls>
          <c:showLegendKey val="0"/>
          <c:showVal val="0"/>
          <c:showCatName val="0"/>
          <c:showSerName val="0"/>
          <c:showPercent val="0"/>
          <c:showBubbleSize val="0"/>
        </c:dLbls>
        <c:gapWidth val="219"/>
        <c:overlap val="-27"/>
        <c:axId val="1132358927"/>
        <c:axId val="1132359343"/>
      </c:barChart>
      <c:catAx>
        <c:axId val="113235892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Mental health status and burnout level</a:t>
                </a:r>
              </a:p>
            </c:rich>
          </c:tx>
          <c:layout>
            <c:manualLayout>
              <c:xMode val="edge"/>
              <c:yMode val="edge"/>
              <c:x val="0.30655878884253435"/>
              <c:y val="0.8503645991619468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359343"/>
        <c:crosses val="autoZero"/>
        <c:auto val="1"/>
        <c:lblAlgn val="ctr"/>
        <c:lblOffset val="100"/>
        <c:noMultiLvlLbl val="0"/>
      </c:catAx>
      <c:valAx>
        <c:axId val="113235934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Average of productivity</a:t>
                </a:r>
              </a:p>
            </c:rich>
          </c:tx>
          <c:layout>
            <c:manualLayout>
              <c:xMode val="edge"/>
              <c:yMode val="edge"/>
              <c:x val="0"/>
              <c:y val="0.2612375558318368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35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536575</xdr:colOff>
      <xdr:row>16</xdr:row>
      <xdr:rowOff>180975</xdr:rowOff>
    </xdr:from>
    <xdr:to>
      <xdr:col>10</xdr:col>
      <xdr:colOff>231775</xdr:colOff>
      <xdr:row>21</xdr:row>
      <xdr:rowOff>174625</xdr:rowOff>
    </xdr:to>
    <xdr:sp macro="" textlink="">
      <xdr:nvSpPr>
        <xdr:cNvPr id="2" name="TextBox 1">
          <a:extLst>
            <a:ext uri="{FF2B5EF4-FFF2-40B4-BE49-F238E27FC236}">
              <a16:creationId xmlns:a16="http://schemas.microsoft.com/office/drawing/2014/main" id="{F59A5570-877F-4854-A0E0-5C3A8EF6FFCD}"/>
            </a:ext>
          </a:extLst>
        </xdr:cNvPr>
        <xdr:cNvSpPr txBox="1"/>
      </xdr:nvSpPr>
      <xdr:spPr>
        <a:xfrm>
          <a:off x="5413375" y="3127375"/>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6351</xdr:colOff>
      <xdr:row>0</xdr:row>
      <xdr:rowOff>9071</xdr:rowOff>
    </xdr:from>
    <xdr:to>
      <xdr:col>12</xdr:col>
      <xdr:colOff>44824</xdr:colOff>
      <xdr:row>27</xdr:row>
      <xdr:rowOff>136072</xdr:rowOff>
    </xdr:to>
    <xdr:sp macro="" textlink="">
      <xdr:nvSpPr>
        <xdr:cNvPr id="3" name="TextBox 2">
          <a:extLst>
            <a:ext uri="{FF2B5EF4-FFF2-40B4-BE49-F238E27FC236}">
              <a16:creationId xmlns:a16="http://schemas.microsoft.com/office/drawing/2014/main" id="{636D5081-8D3E-410A-BAFD-3B4684F75AAD}"/>
            </a:ext>
          </a:extLst>
        </xdr:cNvPr>
        <xdr:cNvSpPr txBox="1"/>
      </xdr:nvSpPr>
      <xdr:spPr>
        <a:xfrm>
          <a:off x="6351" y="9071"/>
          <a:ext cx="7331902" cy="50255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 QUESTIONS</a:t>
          </a:r>
        </a:p>
        <a:p>
          <a:pPr algn="ctr"/>
          <a:endParaRPr lang="en-US" sz="2000" b="1"/>
        </a:p>
        <a:p>
          <a:pPr algn="l"/>
          <a:r>
            <a:rPr lang="en-US" sz="2000" b="1"/>
            <a:t>1. Does working longer hours increase burnout?</a:t>
          </a:r>
        </a:p>
        <a:p>
          <a:pPr algn="l"/>
          <a:endParaRPr lang="en-US" sz="2000" b="1"/>
        </a:p>
        <a:p>
          <a:pPr algn="l"/>
          <a:r>
            <a:rPr lang="en-US" sz="2000" b="1"/>
            <a:t>2. Which job roles experience the highest mental health challenges?</a:t>
          </a:r>
        </a:p>
        <a:p>
          <a:pPr algn="l"/>
          <a:endParaRPr lang="en-US" sz="2000" b="1"/>
        </a:p>
        <a:p>
          <a:pPr algn="l"/>
          <a:r>
            <a:rPr lang="en-US" sz="2000" b="1"/>
            <a:t>3. Is productivity affected by burnout level and mental health status?</a:t>
          </a:r>
        </a:p>
        <a:p>
          <a:pPr algn="l"/>
          <a:endParaRPr lang="en-US" sz="2000" b="1"/>
        </a:p>
        <a:p>
          <a:pPr algn="l"/>
          <a:r>
            <a:rPr lang="en-US" sz="2000" b="1"/>
            <a:t>4. How</a:t>
          </a:r>
          <a:r>
            <a:rPr lang="en-US" sz="2000" b="1" baseline="0"/>
            <a:t> does mental health status relate to sleep hours per day among remote workers</a:t>
          </a:r>
          <a:r>
            <a:rPr lang="en-US" sz="2000" b="1"/>
            <a:t>?</a:t>
          </a:r>
        </a:p>
        <a:p>
          <a:pPr algn="l"/>
          <a:endParaRPr lang="en-US" sz="2000" b="1"/>
        </a:p>
        <a:p>
          <a:pPr algn="l"/>
          <a:r>
            <a:rPr lang="en-US" sz="2000" b="1"/>
            <a:t>5. Do burnout levels significantly differ across job roles?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17320</xdr:colOff>
      <xdr:row>3</xdr:row>
      <xdr:rowOff>103043</xdr:rowOff>
    </xdr:from>
    <xdr:to>
      <xdr:col>9</xdr:col>
      <xdr:colOff>254000</xdr:colOff>
      <xdr:row>18</xdr:row>
      <xdr:rowOff>67540</xdr:rowOff>
    </xdr:to>
    <xdr:graphicFrame macro="">
      <xdr:nvGraphicFramePr>
        <xdr:cNvPr id="2" name="Chart 1">
          <a:extLst>
            <a:ext uri="{FF2B5EF4-FFF2-40B4-BE49-F238E27FC236}">
              <a16:creationId xmlns:a16="http://schemas.microsoft.com/office/drawing/2014/main" id="{EA58EBEF-42C5-4001-A5B6-59EA6C581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330201</xdr:colOff>
      <xdr:row>26</xdr:row>
      <xdr:rowOff>3175</xdr:rowOff>
    </xdr:from>
    <xdr:to>
      <xdr:col>8</xdr:col>
      <xdr:colOff>553358</xdr:colOff>
      <xdr:row>40</xdr:row>
      <xdr:rowOff>168275</xdr:rowOff>
    </xdr:to>
    <xdr:graphicFrame macro="">
      <xdr:nvGraphicFramePr>
        <xdr:cNvPr id="3" name="Chart 2">
          <a:extLst>
            <a:ext uri="{FF2B5EF4-FFF2-40B4-BE49-F238E27FC236}">
              <a16:creationId xmlns:a16="http://schemas.microsoft.com/office/drawing/2014/main" id="{A669440F-7B41-432B-9CE7-777C81DE56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902607</xdr:colOff>
      <xdr:row>34</xdr:row>
      <xdr:rowOff>49894</xdr:rowOff>
    </xdr:from>
    <xdr:to>
      <xdr:col>2</xdr:col>
      <xdr:colOff>58634</xdr:colOff>
      <xdr:row>45</xdr:row>
      <xdr:rowOff>14514</xdr:rowOff>
    </xdr:to>
    <mc:AlternateContent xmlns:mc="http://schemas.openxmlformats.org/markup-compatibility/2006" xmlns:a14="http://schemas.microsoft.com/office/drawing/2010/main">
      <mc:Choice Requires="a14">
        <xdr:graphicFrame macro="">
          <xdr:nvGraphicFramePr>
            <xdr:cNvPr id="4" name="Job_Role">
              <a:extLst>
                <a:ext uri="{FF2B5EF4-FFF2-40B4-BE49-F238E27FC236}">
                  <a16:creationId xmlns:a16="http://schemas.microsoft.com/office/drawing/2014/main" id="{4EB19A51-F7E7-4E2C-846D-21A05C074F95}"/>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mlns="">
        <xdr:sp macro="" textlink="">
          <xdr:nvSpPr>
            <xdr:cNvPr id="0" name=""/>
            <xdr:cNvSpPr>
              <a:spLocks noTextEdit="1"/>
            </xdr:cNvSpPr>
          </xdr:nvSpPr>
          <xdr:spPr>
            <a:xfrm>
              <a:off x="902607" y="6916965"/>
              <a:ext cx="1823027" cy="1960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247650</xdr:colOff>
      <xdr:row>51</xdr:row>
      <xdr:rowOff>3175</xdr:rowOff>
    </xdr:from>
    <xdr:to>
      <xdr:col>12</xdr:col>
      <xdr:colOff>552450</xdr:colOff>
      <xdr:row>65</xdr:row>
      <xdr:rowOff>168275</xdr:rowOff>
    </xdr:to>
    <xdr:graphicFrame macro="">
      <xdr:nvGraphicFramePr>
        <xdr:cNvPr id="5" name="Chart 4">
          <a:extLst>
            <a:ext uri="{FF2B5EF4-FFF2-40B4-BE49-F238E27FC236}">
              <a16:creationId xmlns:a16="http://schemas.microsoft.com/office/drawing/2014/main" id="{A9D81DC2-4CED-417A-BDA4-4B933397C0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1422401</xdr:colOff>
      <xdr:row>58</xdr:row>
      <xdr:rowOff>40823</xdr:rowOff>
    </xdr:from>
    <xdr:to>
      <xdr:col>4</xdr:col>
      <xdr:colOff>280721</xdr:colOff>
      <xdr:row>64</xdr:row>
      <xdr:rowOff>123373</xdr:rowOff>
    </xdr:to>
    <mc:AlternateContent xmlns:mc="http://schemas.openxmlformats.org/markup-compatibility/2006" xmlns:a14="http://schemas.microsoft.com/office/drawing/2010/main">
      <mc:Choice Requires="a14">
        <xdr:graphicFrame macro="">
          <xdr:nvGraphicFramePr>
            <xdr:cNvPr id="6" name="Burnout_level">
              <a:extLst>
                <a:ext uri="{FF2B5EF4-FFF2-40B4-BE49-F238E27FC236}">
                  <a16:creationId xmlns:a16="http://schemas.microsoft.com/office/drawing/2014/main" id="{1A4AE662-D016-47CB-91C4-E6A9A1BE14D3}"/>
                </a:ext>
              </a:extLst>
            </xdr:cNvPr>
            <xdr:cNvGraphicFramePr/>
          </xdr:nvGraphicFramePr>
          <xdr:xfrm>
            <a:off x="0" y="0"/>
            <a:ext cx="0" cy="0"/>
          </xdr:xfrm>
          <a:graphic>
            <a:graphicData uri="http://schemas.microsoft.com/office/drawing/2010/slicer">
              <sle:slicer xmlns:sle="http://schemas.microsoft.com/office/drawing/2010/slicer" name="Burnout_level"/>
            </a:graphicData>
          </a:graphic>
        </xdr:graphicFrame>
      </mc:Choice>
      <mc:Fallback xmlns="">
        <xdr:sp macro="" textlink="">
          <xdr:nvSpPr>
            <xdr:cNvPr id="0" name=""/>
            <xdr:cNvSpPr>
              <a:spLocks noTextEdit="1"/>
            </xdr:cNvSpPr>
          </xdr:nvSpPr>
          <xdr:spPr>
            <a:xfrm>
              <a:off x="2492830" y="11316609"/>
              <a:ext cx="1824677" cy="11711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539750</xdr:colOff>
      <xdr:row>90</xdr:row>
      <xdr:rowOff>174625</xdr:rowOff>
    </xdr:from>
    <xdr:to>
      <xdr:col>8</xdr:col>
      <xdr:colOff>99785</xdr:colOff>
      <xdr:row>105</xdr:row>
      <xdr:rowOff>155575</xdr:rowOff>
    </xdr:to>
    <xdr:graphicFrame macro="">
      <xdr:nvGraphicFramePr>
        <xdr:cNvPr id="7" name="Chart 6">
          <a:extLst>
            <a:ext uri="{FF2B5EF4-FFF2-40B4-BE49-F238E27FC236}">
              <a16:creationId xmlns:a16="http://schemas.microsoft.com/office/drawing/2014/main" id="{E9DE47B2-166E-46E6-9680-595FED7B65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605064</xdr:colOff>
      <xdr:row>128</xdr:row>
      <xdr:rowOff>134710</xdr:rowOff>
    </xdr:from>
    <xdr:to>
      <xdr:col>9</xdr:col>
      <xdr:colOff>18142</xdr:colOff>
      <xdr:row>143</xdr:row>
      <xdr:rowOff>115660</xdr:rowOff>
    </xdr:to>
    <xdr:graphicFrame macro="">
      <xdr:nvGraphicFramePr>
        <xdr:cNvPr id="8" name="Chart 7">
          <a:extLst>
            <a:ext uri="{FF2B5EF4-FFF2-40B4-BE49-F238E27FC236}">
              <a16:creationId xmlns:a16="http://schemas.microsoft.com/office/drawing/2014/main" id="{E39ED5EC-13BA-4A6A-A4CE-94CB99BBA2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743858</xdr:colOff>
      <xdr:row>58</xdr:row>
      <xdr:rowOff>70758</xdr:rowOff>
    </xdr:from>
    <xdr:to>
      <xdr:col>1</xdr:col>
      <xdr:colOff>1502229</xdr:colOff>
      <xdr:row>64</xdr:row>
      <xdr:rowOff>172357</xdr:rowOff>
    </xdr:to>
    <mc:AlternateContent xmlns:mc="http://schemas.openxmlformats.org/markup-compatibility/2006" xmlns:a14="http://schemas.microsoft.com/office/drawing/2010/main">
      <mc:Choice Requires="a14">
        <xdr:graphicFrame macro="">
          <xdr:nvGraphicFramePr>
            <xdr:cNvPr id="9" name="Mental_Health_Status">
              <a:extLst>
                <a:ext uri="{FF2B5EF4-FFF2-40B4-BE49-F238E27FC236}">
                  <a16:creationId xmlns:a16="http://schemas.microsoft.com/office/drawing/2014/main" id="{EDD09BAD-C262-49D0-A448-6EB73D477051}"/>
                </a:ext>
              </a:extLst>
            </xdr:cNvPr>
            <xdr:cNvGraphicFramePr/>
          </xdr:nvGraphicFramePr>
          <xdr:xfrm>
            <a:off x="0" y="0"/>
            <a:ext cx="0" cy="0"/>
          </xdr:xfrm>
          <a:graphic>
            <a:graphicData uri="http://schemas.microsoft.com/office/drawing/2010/slicer">
              <sle:slicer xmlns:sle="http://schemas.microsoft.com/office/drawing/2010/slicer" name="Mental_Health_Status"/>
            </a:graphicData>
          </a:graphic>
        </xdr:graphicFrame>
      </mc:Choice>
      <mc:Fallback xmlns="">
        <xdr:sp macro="" textlink="">
          <xdr:nvSpPr>
            <xdr:cNvPr id="0" name=""/>
            <xdr:cNvSpPr>
              <a:spLocks noTextEdit="1"/>
            </xdr:cNvSpPr>
          </xdr:nvSpPr>
          <xdr:spPr>
            <a:xfrm>
              <a:off x="743858" y="11346544"/>
              <a:ext cx="1828800" cy="11901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0</xdr:colOff>
      <xdr:row>87</xdr:row>
      <xdr:rowOff>0</xdr:rowOff>
    </xdr:to>
    <xdr:sp macro="" textlink="">
      <xdr:nvSpPr>
        <xdr:cNvPr id="2" name="TextBox 1">
          <a:extLst>
            <a:ext uri="{FF2B5EF4-FFF2-40B4-BE49-F238E27FC236}">
              <a16:creationId xmlns:a16="http://schemas.microsoft.com/office/drawing/2014/main" id="{21BBD1BA-3FA8-4889-9788-DF1DBC925309}"/>
            </a:ext>
          </a:extLst>
        </xdr:cNvPr>
        <xdr:cNvSpPr txBox="1"/>
      </xdr:nvSpPr>
      <xdr:spPr>
        <a:xfrm>
          <a:off x="0" y="0"/>
          <a:ext cx="6096000" cy="1602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dk1"/>
              </a:solidFill>
              <a:effectLst/>
              <a:latin typeface="+mn-lt"/>
              <a:ea typeface="+mn-ea"/>
              <a:cs typeface="+mn-cs"/>
            </a:rPr>
            <a:t>INTRODUCTION</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This project examines the mental health and wellbeing of remote workers using a structured dataset that captures employee demographics, work-related factors, and wellbeing indicators. The dataset includes variables such as employee ID, age, gender, job role, work mode, hours worked per week, productivity score, mental health status, burnout score, burnout level, sleep hours per day, and work–life balance rating.</a:t>
          </a:r>
        </a:p>
        <a:p>
          <a:r>
            <a:rPr lang="en-US" sz="1100">
              <a:solidFill>
                <a:schemeClr val="dk1"/>
              </a:solidFill>
              <a:effectLst/>
              <a:latin typeface="+mn-lt"/>
              <a:ea typeface="+mn-ea"/>
              <a:cs typeface="+mn-cs"/>
            </a:rPr>
            <a:t>The raw dataset included employees working under remote, onsite, and hybrid work modes. Since the focus of this study is exclusively on remote workers, the dataset was filtered using Power Pivot to retain only records classified as remote. Non-essential columns were removed to maintain analytical clarity and relevance. Converting the dataset from CSV to an Excel table using Power Pivot enabled efficient data management, dynamic pivot table creation, and pivot chart visualization.</a:t>
          </a:r>
        </a:p>
        <a:p>
          <a:r>
            <a:rPr lang="en-US" sz="1100">
              <a:solidFill>
                <a:schemeClr val="dk1"/>
              </a:solidFill>
              <a:effectLst/>
              <a:latin typeface="+mn-lt"/>
              <a:ea typeface="+mn-ea"/>
              <a:cs typeface="+mn-cs"/>
            </a:rPr>
            <a:t>Data analysis was conducted using pivot tables and pivot charts to summarize and visualize patterns within the dataset. In addition, statistical analyses were conducted using Analysis of Variance (ANOVA) to examine whether observed differences across groups were statistically significant. The interpretations that follow present insights derived from this analysis, highlighting key trends and relationships among variables related to working hours, job roles, burnout, mental health, sleep patterns, and productivity among remote workers.</a:t>
          </a:r>
        </a:p>
        <a:p>
          <a:endParaRPr lang="en-US" sz="1100"/>
        </a:p>
        <a:p>
          <a:r>
            <a:rPr lang="en-US" sz="1200" b="1">
              <a:solidFill>
                <a:schemeClr val="dk1"/>
              </a:solidFill>
              <a:effectLst/>
              <a:latin typeface="+mn-lt"/>
              <a:ea typeface="+mn-ea"/>
              <a:cs typeface="+mn-cs"/>
            </a:rPr>
            <a:t>Question 1: Does working longer hours increase burnout?</a:t>
          </a:r>
        </a:p>
        <a:p>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Chart Type: Column chart</a:t>
          </a:r>
        </a:p>
        <a:p>
          <a:r>
            <a:rPr lang="en-US" sz="1100">
              <a:solidFill>
                <a:schemeClr val="dk1"/>
              </a:solidFill>
              <a:effectLst/>
              <a:latin typeface="+mn-lt"/>
              <a:ea typeface="+mn-ea"/>
              <a:cs typeface="+mn-cs"/>
            </a:rPr>
            <a:t>X-axis: Hours worked per week (grouped)</a:t>
          </a:r>
        </a:p>
        <a:p>
          <a:r>
            <a:rPr lang="en-US" sz="1100">
              <a:solidFill>
                <a:schemeClr val="dk1"/>
              </a:solidFill>
              <a:effectLst/>
              <a:latin typeface="+mn-lt"/>
              <a:ea typeface="+mn-ea"/>
              <a:cs typeface="+mn-cs"/>
            </a:rPr>
            <a:t>Y-axis: Average burnout score</a:t>
          </a:r>
        </a:p>
        <a:p>
          <a:r>
            <a:rPr lang="en-US" sz="1100">
              <a:solidFill>
                <a:schemeClr val="dk1"/>
              </a:solidFill>
              <a:effectLst/>
              <a:latin typeface="+mn-lt"/>
              <a:ea typeface="+mn-ea"/>
              <a:cs typeface="+mn-cs"/>
            </a:rPr>
            <a:t>Values: 46.2, 59, 51, 42.88</a:t>
          </a:r>
        </a:p>
        <a:p>
          <a:r>
            <a:rPr lang="en-US" sz="1100">
              <a:solidFill>
                <a:schemeClr val="dk1"/>
              </a:solidFill>
              <a:effectLst/>
              <a:latin typeface="+mn-lt"/>
              <a:ea typeface="+mn-ea"/>
              <a:cs typeface="+mn-cs"/>
            </a:rPr>
            <a:t>ANOVA P-value: 0.515</a:t>
          </a:r>
        </a:p>
        <a:p>
          <a:endParaRPr lang="en-US" sz="1100">
            <a:solidFill>
              <a:schemeClr val="dk1"/>
            </a:solidFill>
            <a:effectLst/>
            <a:latin typeface="+mn-lt"/>
            <a:ea typeface="+mn-ea"/>
            <a:cs typeface="+mn-cs"/>
          </a:endParaRPr>
        </a:p>
        <a:p>
          <a:r>
            <a:rPr lang="en-US" sz="1200" b="1">
              <a:solidFill>
                <a:schemeClr val="dk1"/>
              </a:solidFill>
              <a:effectLst/>
              <a:latin typeface="+mn-lt"/>
              <a:ea typeface="+mn-ea"/>
              <a:cs typeface="+mn-cs"/>
            </a:rPr>
            <a:t>Interpretation:</a:t>
          </a:r>
        </a:p>
        <a:p>
          <a:r>
            <a:rPr lang="en-US" sz="1100">
              <a:solidFill>
                <a:schemeClr val="dk1"/>
              </a:solidFill>
              <a:effectLst/>
              <a:latin typeface="+mn-lt"/>
              <a:ea typeface="+mn-ea"/>
              <a:cs typeface="+mn-cs"/>
            </a:rPr>
            <a:t>Average burnout scores varied across the four groups of weekly working hours, with the highest burnout observed in the second group (59) and the lowest in the fourth group (42.88). This suggests a fluctuating relationship between hours worked and burnout rather than a strictly increasing trend. However, the ANOVA P-value indicates that these differences are not statistically significant, so longer work hours cannot be concluded to significantly increase burnout in this sample.</a:t>
          </a:r>
        </a:p>
        <a:p>
          <a:endParaRPr lang="en-US" sz="1100">
            <a:solidFill>
              <a:schemeClr val="dk1"/>
            </a:solidFill>
            <a:effectLst/>
            <a:latin typeface="+mn-lt"/>
            <a:ea typeface="+mn-ea"/>
            <a:cs typeface="+mn-cs"/>
          </a:endParaRPr>
        </a:p>
        <a:p>
          <a:r>
            <a:rPr lang="en-US" sz="1200" b="1">
              <a:solidFill>
                <a:schemeClr val="dk1"/>
              </a:solidFill>
              <a:effectLst/>
              <a:latin typeface="+mn-lt"/>
              <a:ea typeface="+mn-ea"/>
              <a:cs typeface="+mn-cs"/>
            </a:rPr>
            <a:t>Question 2: Which job roles experience the highest mental health challenges?</a:t>
          </a:r>
        </a:p>
        <a:p>
          <a:endParaRPr lang="en-US" sz="1200" b="1">
            <a:solidFill>
              <a:schemeClr val="dk1"/>
            </a:solidFill>
            <a:effectLst/>
            <a:latin typeface="+mn-lt"/>
            <a:ea typeface="+mn-ea"/>
            <a:cs typeface="+mn-cs"/>
          </a:endParaRPr>
        </a:p>
        <a:p>
          <a:r>
            <a:rPr lang="en-US" sz="1100">
              <a:solidFill>
                <a:schemeClr val="dk1"/>
              </a:solidFill>
              <a:effectLst/>
              <a:latin typeface="+mn-lt"/>
              <a:ea typeface="+mn-ea"/>
              <a:cs typeface="+mn-cs"/>
            </a:rPr>
            <a:t>Chart Type: Bar chart</a:t>
          </a:r>
        </a:p>
        <a:p>
          <a:r>
            <a:rPr lang="en-US" sz="1100">
              <a:solidFill>
                <a:schemeClr val="dk1"/>
              </a:solidFill>
              <a:effectLst/>
              <a:latin typeface="+mn-lt"/>
              <a:ea typeface="+mn-ea"/>
              <a:cs typeface="+mn-cs"/>
            </a:rPr>
            <a:t>X-axis: Job roles</a:t>
          </a:r>
        </a:p>
        <a:p>
          <a:r>
            <a:rPr lang="en-US" sz="1100">
              <a:solidFill>
                <a:schemeClr val="dk1"/>
              </a:solidFill>
              <a:effectLst/>
              <a:latin typeface="+mn-lt"/>
              <a:ea typeface="+mn-ea"/>
              <a:cs typeface="+mn-cs"/>
            </a:rPr>
            <a:t>Y-axis: Percentage of employees with poor mental health</a:t>
          </a:r>
        </a:p>
        <a:p>
          <a:r>
            <a:rPr lang="en-US" sz="1100">
              <a:solidFill>
                <a:schemeClr val="dk1"/>
              </a:solidFill>
              <a:effectLst/>
              <a:latin typeface="+mn-lt"/>
              <a:ea typeface="+mn-ea"/>
              <a:cs typeface="+mn-cs"/>
            </a:rPr>
            <a:t>Values: UI/UX Designer – 13.33%, QA Engineer – 33.33%, Product Manager – 20.00%, DevOps Engineer – 26.67%, Developer – 6.67%</a:t>
          </a:r>
        </a:p>
        <a:p>
          <a:endParaRPr lang="en-US" sz="1100">
            <a:solidFill>
              <a:schemeClr val="dk1"/>
            </a:solidFill>
            <a:effectLst/>
            <a:latin typeface="+mn-lt"/>
            <a:ea typeface="+mn-ea"/>
            <a:cs typeface="+mn-cs"/>
          </a:endParaRPr>
        </a:p>
        <a:p>
          <a:r>
            <a:rPr lang="en-US" sz="1200" b="1">
              <a:solidFill>
                <a:schemeClr val="dk1"/>
              </a:solidFill>
              <a:effectLst/>
              <a:latin typeface="+mn-lt"/>
              <a:ea typeface="+mn-ea"/>
              <a:cs typeface="+mn-cs"/>
            </a:rPr>
            <a:t>Interpretation:</a:t>
          </a:r>
        </a:p>
        <a:p>
          <a:r>
            <a:rPr lang="en-US" sz="1100">
              <a:solidFill>
                <a:schemeClr val="dk1"/>
              </a:solidFill>
              <a:effectLst/>
              <a:latin typeface="+mn-lt"/>
              <a:ea typeface="+mn-ea"/>
              <a:cs typeface="+mn-cs"/>
            </a:rPr>
            <a:t>QA Engineers and DevOps Engineers have the highest proportions of poor mental health, while Developers and UI/UX Designers have lower percentages. Filtering for poor mental health only ensures a focused and accurate comparison. These results suggest that certain roles may face higher mental health challenges, likely due to job-specific pressures or workload demands.</a:t>
          </a:r>
        </a:p>
        <a:p>
          <a:endParaRPr lang="en-US" sz="1100">
            <a:solidFill>
              <a:schemeClr val="dk1"/>
            </a:solidFill>
            <a:effectLst/>
            <a:latin typeface="+mn-lt"/>
            <a:ea typeface="+mn-ea"/>
            <a:cs typeface="+mn-cs"/>
          </a:endParaRPr>
        </a:p>
        <a:p>
          <a:r>
            <a:rPr lang="en-US" sz="1200" b="1">
              <a:solidFill>
                <a:schemeClr val="dk1"/>
              </a:solidFill>
              <a:effectLst/>
              <a:latin typeface="+mn-lt"/>
              <a:ea typeface="+mn-ea"/>
              <a:cs typeface="+mn-cs"/>
            </a:rPr>
            <a:t>Question 3: Is productivity affected by burnout level and mental health status?</a:t>
          </a:r>
        </a:p>
        <a:p>
          <a:endParaRPr lang="en-US" sz="1200" b="1">
            <a:solidFill>
              <a:schemeClr val="dk1"/>
            </a:solidFill>
            <a:effectLst/>
            <a:latin typeface="+mn-lt"/>
            <a:ea typeface="+mn-ea"/>
            <a:cs typeface="+mn-cs"/>
          </a:endParaRPr>
        </a:p>
        <a:p>
          <a:r>
            <a:rPr lang="en-US" sz="1100">
              <a:solidFill>
                <a:schemeClr val="dk1"/>
              </a:solidFill>
              <a:effectLst/>
              <a:latin typeface="+mn-lt"/>
              <a:ea typeface="+mn-ea"/>
              <a:cs typeface="+mn-cs"/>
            </a:rPr>
            <a:t>Chart Type: Column chart</a:t>
          </a:r>
        </a:p>
        <a:p>
          <a:r>
            <a:rPr lang="en-US" sz="1100">
              <a:solidFill>
                <a:schemeClr val="dk1"/>
              </a:solidFill>
              <a:effectLst/>
              <a:latin typeface="+mn-lt"/>
              <a:ea typeface="+mn-ea"/>
              <a:cs typeface="+mn-cs"/>
            </a:rPr>
            <a:t>X-axis: Burnout levels (Good, Moderate, Poor)</a:t>
          </a:r>
        </a:p>
        <a:p>
          <a:r>
            <a:rPr lang="en-US" sz="1100">
              <a:solidFill>
                <a:schemeClr val="dk1"/>
              </a:solidFill>
              <a:effectLst/>
              <a:latin typeface="+mn-lt"/>
              <a:ea typeface="+mn-ea"/>
              <a:cs typeface="+mn-cs"/>
            </a:rPr>
            <a:t>Columns per group: Mental health status (High, Medium, Low)</a:t>
          </a:r>
        </a:p>
        <a:p>
          <a:r>
            <a:rPr lang="en-US" sz="1100">
              <a:solidFill>
                <a:schemeClr val="dk1"/>
              </a:solidFill>
              <a:effectLst/>
              <a:latin typeface="+mn-lt"/>
              <a:ea typeface="+mn-ea"/>
              <a:cs typeface="+mn-cs"/>
            </a:rPr>
            <a:t>Values:</a:t>
          </a:r>
        </a:p>
        <a:p>
          <a:r>
            <a:rPr lang="en-US" sz="1100">
              <a:solidFill>
                <a:schemeClr val="dk1"/>
              </a:solidFill>
              <a:effectLst/>
              <a:latin typeface="+mn-lt"/>
              <a:ea typeface="+mn-ea"/>
              <a:cs typeface="+mn-cs"/>
            </a:rPr>
            <a:t>Good: High – 6.05, Medium – 5.75, Low – 4</a:t>
          </a:r>
        </a:p>
        <a:p>
          <a:r>
            <a:rPr lang="en-US" sz="1100">
              <a:solidFill>
                <a:schemeClr val="dk1"/>
              </a:solidFill>
              <a:effectLst/>
              <a:latin typeface="+mn-lt"/>
              <a:ea typeface="+mn-ea"/>
              <a:cs typeface="+mn-cs"/>
            </a:rPr>
            <a:t>Moderate: High – 5.95, Medium – 6.725, Low – 7.157</a:t>
          </a:r>
        </a:p>
        <a:p>
          <a:r>
            <a:rPr lang="en-US" sz="1100">
              <a:solidFill>
                <a:schemeClr val="dk1"/>
              </a:solidFill>
              <a:effectLst/>
              <a:latin typeface="+mn-lt"/>
              <a:ea typeface="+mn-ea"/>
              <a:cs typeface="+mn-cs"/>
            </a:rPr>
            <a:t>Poor: High – 6.88, Medium – 5.75, Low – 4.95</a:t>
          </a:r>
        </a:p>
        <a:p>
          <a:r>
            <a:rPr lang="en-US" sz="1100">
              <a:solidFill>
                <a:schemeClr val="dk1"/>
              </a:solidFill>
              <a:effectLst/>
              <a:latin typeface="+mn-lt"/>
              <a:ea typeface="+mn-ea"/>
              <a:cs typeface="+mn-cs"/>
            </a:rPr>
            <a:t>ANOVA P-values: Burnout level = 0.5247, Mental health status = 0.3304</a:t>
          </a:r>
        </a:p>
        <a:p>
          <a:endParaRPr lang="en-US" sz="1100">
            <a:solidFill>
              <a:schemeClr val="dk1"/>
            </a:solidFill>
            <a:effectLst/>
            <a:latin typeface="+mn-lt"/>
            <a:ea typeface="+mn-ea"/>
            <a:cs typeface="+mn-cs"/>
          </a:endParaRPr>
        </a:p>
        <a:p>
          <a:r>
            <a:rPr lang="en-US" sz="1200" b="1">
              <a:solidFill>
                <a:schemeClr val="dk1"/>
              </a:solidFill>
              <a:effectLst/>
              <a:latin typeface="+mn-lt"/>
              <a:ea typeface="+mn-ea"/>
              <a:cs typeface="+mn-cs"/>
            </a:rPr>
            <a:t>Interpretation:</a:t>
          </a:r>
        </a:p>
        <a:p>
          <a:r>
            <a:rPr lang="en-US" sz="1100">
              <a:solidFill>
                <a:schemeClr val="dk1"/>
              </a:solidFill>
              <a:effectLst/>
              <a:latin typeface="+mn-lt"/>
              <a:ea typeface="+mn-ea"/>
              <a:cs typeface="+mn-cs"/>
            </a:rPr>
            <a:t>Productivity varied across combinations of burnout levels and mental health status. While some groups showed higher productivity than others, the ANOVA results indicate that neither burnout level nor mental health status has a statistically significant effect on productivity in this sample.</a:t>
          </a:r>
        </a:p>
        <a:p>
          <a:endParaRPr lang="en-US" sz="1100">
            <a:solidFill>
              <a:schemeClr val="dk1"/>
            </a:solidFill>
            <a:effectLst/>
            <a:latin typeface="+mn-lt"/>
            <a:ea typeface="+mn-ea"/>
            <a:cs typeface="+mn-cs"/>
          </a:endParaRPr>
        </a:p>
        <a:p>
          <a:r>
            <a:rPr lang="en-US" sz="1200" b="1">
              <a:solidFill>
                <a:schemeClr val="dk1"/>
              </a:solidFill>
              <a:effectLst/>
              <a:latin typeface="+mn-lt"/>
              <a:ea typeface="+mn-ea"/>
              <a:cs typeface="+mn-cs"/>
            </a:rPr>
            <a:t>Question 4: How does mental health status relate to sleep hours per day?</a:t>
          </a:r>
        </a:p>
        <a:p>
          <a:endParaRPr lang="en-US" sz="1200" b="1">
            <a:solidFill>
              <a:schemeClr val="dk1"/>
            </a:solidFill>
            <a:effectLst/>
            <a:latin typeface="+mn-lt"/>
            <a:ea typeface="+mn-ea"/>
            <a:cs typeface="+mn-cs"/>
          </a:endParaRPr>
        </a:p>
        <a:p>
          <a:r>
            <a:rPr lang="en-US" sz="1100">
              <a:solidFill>
                <a:schemeClr val="dk1"/>
              </a:solidFill>
              <a:effectLst/>
              <a:latin typeface="+mn-lt"/>
              <a:ea typeface="+mn-ea"/>
              <a:cs typeface="+mn-cs"/>
            </a:rPr>
            <a:t>Chart Type: Column chart</a:t>
          </a:r>
        </a:p>
        <a:p>
          <a:r>
            <a:rPr lang="en-US" sz="1100">
              <a:solidFill>
                <a:schemeClr val="dk1"/>
              </a:solidFill>
              <a:effectLst/>
              <a:latin typeface="+mn-lt"/>
              <a:ea typeface="+mn-ea"/>
              <a:cs typeface="+mn-cs"/>
            </a:rPr>
            <a:t>X-axis: Mental health status (Good, Moderate, Poor)</a:t>
          </a:r>
        </a:p>
        <a:p>
          <a:r>
            <a:rPr lang="en-US" sz="1100">
              <a:solidFill>
                <a:schemeClr val="dk1"/>
              </a:solidFill>
              <a:effectLst/>
              <a:latin typeface="+mn-lt"/>
              <a:ea typeface="+mn-ea"/>
              <a:cs typeface="+mn-cs"/>
            </a:rPr>
            <a:t>Y-axis: Average sleep hours per day</a:t>
          </a:r>
        </a:p>
        <a:p>
          <a:r>
            <a:rPr lang="en-US" sz="1100">
              <a:solidFill>
                <a:schemeClr val="dk1"/>
              </a:solidFill>
              <a:effectLst/>
              <a:latin typeface="+mn-lt"/>
              <a:ea typeface="+mn-ea"/>
              <a:cs typeface="+mn-cs"/>
            </a:rPr>
            <a:t>Values: Good – 5.95, Moderate – 6.36, Poor – 7.07</a:t>
          </a:r>
        </a:p>
        <a:p>
          <a:r>
            <a:rPr lang="en-US" sz="1100">
              <a:solidFill>
                <a:schemeClr val="dk1"/>
              </a:solidFill>
              <a:effectLst/>
              <a:latin typeface="+mn-lt"/>
              <a:ea typeface="+mn-ea"/>
              <a:cs typeface="+mn-cs"/>
            </a:rPr>
            <a:t>ANOVA P-value: 0.112</a:t>
          </a:r>
        </a:p>
        <a:p>
          <a:endParaRPr lang="en-US" sz="1100">
            <a:solidFill>
              <a:schemeClr val="dk1"/>
            </a:solidFill>
            <a:effectLst/>
            <a:latin typeface="+mn-lt"/>
            <a:ea typeface="+mn-ea"/>
            <a:cs typeface="+mn-cs"/>
          </a:endParaRPr>
        </a:p>
        <a:p>
          <a:r>
            <a:rPr lang="en-US" sz="1200" b="1">
              <a:solidFill>
                <a:schemeClr val="dk1"/>
              </a:solidFill>
              <a:effectLst/>
              <a:latin typeface="+mn-lt"/>
              <a:ea typeface="+mn-ea"/>
              <a:cs typeface="+mn-cs"/>
            </a:rPr>
            <a:t>Interpretation:</a:t>
          </a:r>
        </a:p>
        <a:p>
          <a:r>
            <a:rPr lang="en-US" sz="1100">
              <a:solidFill>
                <a:schemeClr val="dk1"/>
              </a:solidFill>
              <a:effectLst/>
              <a:latin typeface="+mn-lt"/>
              <a:ea typeface="+mn-ea"/>
              <a:cs typeface="+mn-cs"/>
            </a:rPr>
            <a:t>Average sleep hours increased as mental health worsened, with employees having poor mental health sleeping the most. This trend suggests a potential link between poorer mental health and longer sleep durations, possibly reflecting fatigue or recovery needs. However, the differences are not statistically significant.</a:t>
          </a:r>
        </a:p>
        <a:p>
          <a:endParaRPr lang="en-US" sz="1100">
            <a:solidFill>
              <a:schemeClr val="dk1"/>
            </a:solidFill>
            <a:effectLst/>
            <a:latin typeface="+mn-lt"/>
            <a:ea typeface="+mn-ea"/>
            <a:cs typeface="+mn-cs"/>
          </a:endParaRPr>
        </a:p>
        <a:p>
          <a:r>
            <a:rPr lang="en-US" sz="1200" b="1">
              <a:solidFill>
                <a:schemeClr val="dk1"/>
              </a:solidFill>
              <a:effectLst/>
              <a:latin typeface="+mn-lt"/>
              <a:ea typeface="+mn-ea"/>
              <a:cs typeface="+mn-cs"/>
            </a:rPr>
            <a:t>Question 5: Do burnout levels significantly differ across job roles?</a:t>
          </a:r>
        </a:p>
        <a:p>
          <a:endParaRPr lang="en-US" sz="1200" b="1">
            <a:solidFill>
              <a:schemeClr val="dk1"/>
            </a:solidFill>
            <a:effectLst/>
            <a:latin typeface="+mn-lt"/>
            <a:ea typeface="+mn-ea"/>
            <a:cs typeface="+mn-cs"/>
          </a:endParaRPr>
        </a:p>
        <a:p>
          <a:r>
            <a:rPr lang="en-US" sz="1100">
              <a:solidFill>
                <a:schemeClr val="dk1"/>
              </a:solidFill>
              <a:effectLst/>
              <a:latin typeface="+mn-lt"/>
              <a:ea typeface="+mn-ea"/>
              <a:cs typeface="+mn-cs"/>
            </a:rPr>
            <a:t>Chart Type: Column chart</a:t>
          </a:r>
        </a:p>
        <a:p>
          <a:r>
            <a:rPr lang="en-US" sz="1100">
              <a:solidFill>
                <a:schemeClr val="dk1"/>
              </a:solidFill>
              <a:effectLst/>
              <a:latin typeface="+mn-lt"/>
              <a:ea typeface="+mn-ea"/>
              <a:cs typeface="+mn-cs"/>
            </a:rPr>
            <a:t>X-axis: Job roles</a:t>
          </a:r>
        </a:p>
        <a:p>
          <a:r>
            <a:rPr lang="en-US" sz="1100">
              <a:solidFill>
                <a:schemeClr val="dk1"/>
              </a:solidFill>
              <a:effectLst/>
              <a:latin typeface="+mn-lt"/>
              <a:ea typeface="+mn-ea"/>
              <a:cs typeface="+mn-cs"/>
            </a:rPr>
            <a:t>Y-axis: Average burnout score</a:t>
          </a:r>
        </a:p>
        <a:p>
          <a:r>
            <a:rPr lang="en-US" sz="1100">
              <a:solidFill>
                <a:schemeClr val="dk1"/>
              </a:solidFill>
              <a:effectLst/>
              <a:latin typeface="+mn-lt"/>
              <a:ea typeface="+mn-ea"/>
              <a:cs typeface="+mn-cs"/>
            </a:rPr>
            <a:t>Values: Data Scientist – 48.67, Developer – 57.11, DevOps Engineer – 51.57, Product Manager – 60, QA Engineer – 44.27, UI/UX Designer – 50.50</a:t>
          </a:r>
        </a:p>
        <a:p>
          <a:r>
            <a:rPr lang="en-US" sz="1100">
              <a:solidFill>
                <a:schemeClr val="dk1"/>
              </a:solidFill>
              <a:effectLst/>
              <a:latin typeface="+mn-lt"/>
              <a:ea typeface="+mn-ea"/>
              <a:cs typeface="+mn-cs"/>
            </a:rPr>
            <a:t>ANOVA P-value: 0.8447</a:t>
          </a:r>
        </a:p>
        <a:p>
          <a:endParaRPr lang="en-US" sz="1100">
            <a:solidFill>
              <a:schemeClr val="dk1"/>
            </a:solidFill>
            <a:effectLst/>
            <a:latin typeface="+mn-lt"/>
            <a:ea typeface="+mn-ea"/>
            <a:cs typeface="+mn-cs"/>
          </a:endParaRPr>
        </a:p>
        <a:p>
          <a:r>
            <a:rPr lang="en-US" sz="1200" b="1">
              <a:solidFill>
                <a:schemeClr val="dk1"/>
              </a:solidFill>
              <a:effectLst/>
              <a:latin typeface="+mn-lt"/>
              <a:ea typeface="+mn-ea"/>
              <a:cs typeface="+mn-cs"/>
            </a:rPr>
            <a:t>Interpretation:</a:t>
          </a:r>
        </a:p>
        <a:p>
          <a:r>
            <a:rPr lang="en-US" sz="1100">
              <a:solidFill>
                <a:schemeClr val="dk1"/>
              </a:solidFill>
              <a:effectLst/>
              <a:latin typeface="+mn-lt"/>
              <a:ea typeface="+mn-ea"/>
              <a:cs typeface="+mn-cs"/>
            </a:rPr>
            <a:t>Some variation in burnout scores is observed across roles, with Product Managers and Developers having higher burnout and QA Engineers the lowest. However, ANOVA results indicate these differences are not statistically significant, so no definitive conclusions can be drawn about burnout differences across job roles.</a:t>
          </a:r>
        </a:p>
        <a:p>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0</xdr:colOff>
      <xdr:row>16</xdr:row>
      <xdr:rowOff>0</xdr:rowOff>
    </xdr:to>
    <xdr:sp macro="" textlink="">
      <xdr:nvSpPr>
        <xdr:cNvPr id="2" name="TextBox 1">
          <a:extLst>
            <a:ext uri="{FF2B5EF4-FFF2-40B4-BE49-F238E27FC236}">
              <a16:creationId xmlns:a16="http://schemas.microsoft.com/office/drawing/2014/main" id="{E0411C35-213E-4C64-8798-B1B915EF593F}"/>
            </a:ext>
          </a:extLst>
        </xdr:cNvPr>
        <xdr:cNvSpPr txBox="1"/>
      </xdr:nvSpPr>
      <xdr:spPr>
        <a:xfrm>
          <a:off x="0" y="0"/>
          <a:ext cx="6096000" cy="294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dk1"/>
              </a:solidFill>
              <a:effectLst/>
              <a:latin typeface="+mn-lt"/>
              <a:ea typeface="+mn-ea"/>
              <a:cs typeface="+mn-cs"/>
            </a:rPr>
            <a:t>SUMMARY</a:t>
          </a:r>
        </a:p>
        <a:p>
          <a:pPr algn="ctr"/>
          <a:endParaRPr lang="en-US" sz="1600" b="1">
            <a:solidFill>
              <a:schemeClr val="dk1"/>
            </a:solidFill>
            <a:effectLst/>
            <a:latin typeface="+mn-lt"/>
            <a:ea typeface="+mn-ea"/>
            <a:cs typeface="+mn-cs"/>
          </a:endParaRPr>
        </a:p>
        <a:p>
          <a:r>
            <a:rPr lang="en-US" sz="1100">
              <a:solidFill>
                <a:schemeClr val="dk1"/>
              </a:solidFill>
              <a:effectLst/>
              <a:latin typeface="+mn-lt"/>
              <a:ea typeface="+mn-ea"/>
              <a:cs typeface="+mn-cs"/>
            </a:rPr>
            <a:t>The analysis of remote workers revealed general patterns in mental health, burnout, productivity, and sleep. Some job roles, such as QA Engineers and DevOps Engineers, tend to experience higher mental health challenges, while variations in burnout and productivity exist across roles and working hours. Workers with poorer mental health tended to have slightly longer sleep durations, and productivity showed minor differences depending on burnout and mental health levels.</a:t>
          </a:r>
        </a:p>
        <a:p>
          <a:r>
            <a:rPr lang="en-US" sz="1100">
              <a:solidFill>
                <a:schemeClr val="dk1"/>
              </a:solidFill>
              <a:effectLst/>
              <a:latin typeface="+mn-lt"/>
              <a:ea typeface="+mn-ea"/>
              <a:cs typeface="+mn-cs"/>
            </a:rPr>
            <a:t>Statistical analysis using ANOVA indicated that none of the observed differences were significant at the 0.05 level. This means that while trends are visible, they cannot be confirmed statistically within this sample.</a:t>
          </a:r>
        </a:p>
        <a:p>
          <a:r>
            <a:rPr lang="en-US" sz="1100">
              <a:solidFill>
                <a:schemeClr val="dk1"/>
              </a:solidFill>
              <a:effectLst/>
              <a:latin typeface="+mn-lt"/>
              <a:ea typeface="+mn-ea"/>
              <a:cs typeface="+mn-cs"/>
            </a:rPr>
            <a:t>Overall, the findings suggest that remote workers’ wellbeing and productivity may be influenced by a combination of workload, job role, and mental health factors. Organizations may benefit from monitoring these areas to support employee health, reduce burnout, and maintain productivity, even though no statistically significant effects were detected</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95250</xdr:colOff>
      <xdr:row>0</xdr:row>
      <xdr:rowOff>95250</xdr:rowOff>
    </xdr:from>
    <xdr:to>
      <xdr:col>21</xdr:col>
      <xdr:colOff>587375</xdr:colOff>
      <xdr:row>50</xdr:row>
      <xdr:rowOff>0</xdr:rowOff>
    </xdr:to>
    <xdr:sp macro="" textlink="">
      <xdr:nvSpPr>
        <xdr:cNvPr id="16" name="Rectangle 15">
          <a:extLst>
            <a:ext uri="{FF2B5EF4-FFF2-40B4-BE49-F238E27FC236}">
              <a16:creationId xmlns:a16="http://schemas.microsoft.com/office/drawing/2014/main" id="{BCAF24CB-2996-4176-AB48-5EDEBE4F279C}"/>
            </a:ext>
          </a:extLst>
        </xdr:cNvPr>
        <xdr:cNvSpPr/>
      </xdr:nvSpPr>
      <xdr:spPr>
        <a:xfrm>
          <a:off x="95250" y="95250"/>
          <a:ext cx="13160375" cy="9429750"/>
        </a:xfrm>
        <a:prstGeom prst="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 </a:t>
          </a:r>
        </a:p>
      </xdr:txBody>
    </xdr:sp>
    <xdr:clientData/>
  </xdr:twoCellAnchor>
  <xdr:oneCellAnchor>
    <xdr:from>
      <xdr:col>3</xdr:col>
      <xdr:colOff>174624</xdr:colOff>
      <xdr:row>1</xdr:row>
      <xdr:rowOff>0</xdr:rowOff>
    </xdr:from>
    <xdr:ext cx="9477376" cy="571500"/>
    <xdr:sp macro="" textlink="">
      <xdr:nvSpPr>
        <xdr:cNvPr id="2" name="TextBox 1">
          <a:extLst>
            <a:ext uri="{FF2B5EF4-FFF2-40B4-BE49-F238E27FC236}">
              <a16:creationId xmlns:a16="http://schemas.microsoft.com/office/drawing/2014/main" id="{EE1A1A92-3826-4448-AAB3-BD176827F5AE}"/>
            </a:ext>
          </a:extLst>
        </xdr:cNvPr>
        <xdr:cNvSpPr txBox="1"/>
      </xdr:nvSpPr>
      <xdr:spPr>
        <a:xfrm>
          <a:off x="1984374" y="190500"/>
          <a:ext cx="9477376" cy="571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3200" b="1">
              <a:solidFill>
                <a:schemeClr val="accent1">
                  <a:lumMod val="75000"/>
                </a:schemeClr>
              </a:solidFill>
            </a:rPr>
            <a:t>MENTAL</a:t>
          </a:r>
          <a:r>
            <a:rPr lang="en-US" sz="3200" b="1" baseline="0">
              <a:solidFill>
                <a:schemeClr val="accent1">
                  <a:lumMod val="75000"/>
                </a:schemeClr>
              </a:solidFill>
            </a:rPr>
            <a:t> HEALTH OF REMOTE WORKERS - DASHBOARD</a:t>
          </a:r>
          <a:endParaRPr lang="en-US" sz="3200" b="1">
            <a:solidFill>
              <a:schemeClr val="accent1">
                <a:lumMod val="75000"/>
              </a:schemeClr>
            </a:solidFill>
          </a:endParaRPr>
        </a:p>
      </xdr:txBody>
    </xdr:sp>
    <xdr:clientData/>
  </xdr:oneCellAnchor>
  <xdr:twoCellAnchor editAs="oneCell">
    <xdr:from>
      <xdr:col>0</xdr:col>
      <xdr:colOff>390897</xdr:colOff>
      <xdr:row>4</xdr:row>
      <xdr:rowOff>147616</xdr:rowOff>
    </xdr:from>
    <xdr:to>
      <xdr:col>3</xdr:col>
      <xdr:colOff>381000</xdr:colOff>
      <xdr:row>15</xdr:row>
      <xdr:rowOff>79375</xdr:rowOff>
    </xdr:to>
    <mc:AlternateContent xmlns:mc="http://schemas.openxmlformats.org/markup-compatibility/2006" xmlns:a14="http://schemas.microsoft.com/office/drawing/2010/main">
      <mc:Choice Requires="a14">
        <xdr:graphicFrame macro="">
          <xdr:nvGraphicFramePr>
            <xdr:cNvPr id="3" name="Job_Role 1">
              <a:extLst>
                <a:ext uri="{FF2B5EF4-FFF2-40B4-BE49-F238E27FC236}">
                  <a16:creationId xmlns:a16="http://schemas.microsoft.com/office/drawing/2014/main" id="{0E14265F-181D-4F95-B97A-D7189F08ABB8}"/>
                </a:ext>
              </a:extLst>
            </xdr:cNvPr>
            <xdr:cNvGraphicFramePr/>
          </xdr:nvGraphicFramePr>
          <xdr:xfrm>
            <a:off x="0" y="0"/>
            <a:ext cx="0" cy="0"/>
          </xdr:xfrm>
          <a:graphic>
            <a:graphicData uri="http://schemas.microsoft.com/office/drawing/2010/slicer">
              <sle:slicer xmlns:sle="http://schemas.microsoft.com/office/drawing/2010/slicer" name="Job_Role 1"/>
            </a:graphicData>
          </a:graphic>
        </xdr:graphicFrame>
      </mc:Choice>
      <mc:Fallback xmlns="">
        <xdr:sp macro="" textlink="">
          <xdr:nvSpPr>
            <xdr:cNvPr id="0" name=""/>
            <xdr:cNvSpPr>
              <a:spLocks noTextEdit="1"/>
            </xdr:cNvSpPr>
          </xdr:nvSpPr>
          <xdr:spPr>
            <a:xfrm>
              <a:off x="390897" y="909616"/>
              <a:ext cx="1799853" cy="2027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206170</xdr:colOff>
      <xdr:row>5</xdr:row>
      <xdr:rowOff>0</xdr:rowOff>
    </xdr:from>
    <xdr:to>
      <xdr:col>10</xdr:col>
      <xdr:colOff>158750</xdr:colOff>
      <xdr:row>11</xdr:row>
      <xdr:rowOff>51377</xdr:rowOff>
    </xdr:to>
    <mc:AlternateContent xmlns:mc="http://schemas.openxmlformats.org/markup-compatibility/2006" xmlns:a14="http://schemas.microsoft.com/office/drawing/2010/main">
      <mc:Choice Requires="a14">
        <xdr:graphicFrame macro="">
          <xdr:nvGraphicFramePr>
            <xdr:cNvPr id="4" name="Burnout_level 1">
              <a:extLst>
                <a:ext uri="{FF2B5EF4-FFF2-40B4-BE49-F238E27FC236}">
                  <a16:creationId xmlns:a16="http://schemas.microsoft.com/office/drawing/2014/main" id="{E90A6294-7A52-4F14-A0C0-7298AB775081}"/>
                </a:ext>
              </a:extLst>
            </xdr:cNvPr>
            <xdr:cNvGraphicFramePr/>
          </xdr:nvGraphicFramePr>
          <xdr:xfrm>
            <a:off x="0" y="0"/>
            <a:ext cx="0" cy="0"/>
          </xdr:xfrm>
          <a:graphic>
            <a:graphicData uri="http://schemas.microsoft.com/office/drawing/2010/slicer">
              <sle:slicer xmlns:sle="http://schemas.microsoft.com/office/drawing/2010/slicer" name="Burnout_level 1"/>
            </a:graphicData>
          </a:graphic>
        </xdr:graphicFrame>
      </mc:Choice>
      <mc:Fallback xmlns="">
        <xdr:sp macro="" textlink="">
          <xdr:nvSpPr>
            <xdr:cNvPr id="0" name=""/>
            <xdr:cNvSpPr>
              <a:spLocks noTextEdit="1"/>
            </xdr:cNvSpPr>
          </xdr:nvSpPr>
          <xdr:spPr>
            <a:xfrm>
              <a:off x="4428920" y="952500"/>
              <a:ext cx="1762330" cy="1194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35462</xdr:colOff>
      <xdr:row>4</xdr:row>
      <xdr:rowOff>137721</xdr:rowOff>
    </xdr:from>
    <xdr:to>
      <xdr:col>7</xdr:col>
      <xdr:colOff>40905</xdr:colOff>
      <xdr:row>11</xdr:row>
      <xdr:rowOff>57891</xdr:rowOff>
    </xdr:to>
    <mc:AlternateContent xmlns:mc="http://schemas.openxmlformats.org/markup-compatibility/2006" xmlns:a14="http://schemas.microsoft.com/office/drawing/2010/main">
      <mc:Choice Requires="a14">
        <xdr:graphicFrame macro="">
          <xdr:nvGraphicFramePr>
            <xdr:cNvPr id="5" name="Mental_Health_Status 1">
              <a:extLst>
                <a:ext uri="{FF2B5EF4-FFF2-40B4-BE49-F238E27FC236}">
                  <a16:creationId xmlns:a16="http://schemas.microsoft.com/office/drawing/2014/main" id="{EDFD34C8-DF0C-4824-A51A-8737BE7D0D17}"/>
                </a:ext>
              </a:extLst>
            </xdr:cNvPr>
            <xdr:cNvGraphicFramePr/>
          </xdr:nvGraphicFramePr>
          <xdr:xfrm>
            <a:off x="0" y="0"/>
            <a:ext cx="0" cy="0"/>
          </xdr:xfrm>
          <a:graphic>
            <a:graphicData uri="http://schemas.microsoft.com/office/drawing/2010/slicer">
              <sle:slicer xmlns:sle="http://schemas.microsoft.com/office/drawing/2010/slicer" name="Mental_Health_Status 1"/>
            </a:graphicData>
          </a:graphic>
        </xdr:graphicFrame>
      </mc:Choice>
      <mc:Fallback xmlns="">
        <xdr:sp macro="" textlink="">
          <xdr:nvSpPr>
            <xdr:cNvPr id="0" name=""/>
            <xdr:cNvSpPr>
              <a:spLocks noTextEdit="1"/>
            </xdr:cNvSpPr>
          </xdr:nvSpPr>
          <xdr:spPr>
            <a:xfrm>
              <a:off x="2448462" y="899721"/>
              <a:ext cx="1815193" cy="12536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127001</xdr:colOff>
      <xdr:row>4</xdr:row>
      <xdr:rowOff>115456</xdr:rowOff>
    </xdr:from>
    <xdr:to>
      <xdr:col>21</xdr:col>
      <xdr:colOff>517072</xdr:colOff>
      <xdr:row>17</xdr:row>
      <xdr:rowOff>75871</xdr:rowOff>
    </xdr:to>
    <xdr:graphicFrame macro="">
      <xdr:nvGraphicFramePr>
        <xdr:cNvPr id="7" name="Chart 6">
          <a:extLst>
            <a:ext uri="{FF2B5EF4-FFF2-40B4-BE49-F238E27FC236}">
              <a16:creationId xmlns:a16="http://schemas.microsoft.com/office/drawing/2014/main" id="{A361AC7C-D816-46A7-A561-AF07BFF42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18</xdr:row>
      <xdr:rowOff>0</xdr:rowOff>
    </xdr:from>
    <xdr:to>
      <xdr:col>10</xdr:col>
      <xdr:colOff>531586</xdr:colOff>
      <xdr:row>32</xdr:row>
      <xdr:rowOff>165100</xdr:rowOff>
    </xdr:to>
    <xdr:graphicFrame macro="">
      <xdr:nvGraphicFramePr>
        <xdr:cNvPr id="8" name="Chart 7">
          <a:extLst>
            <a:ext uri="{FF2B5EF4-FFF2-40B4-BE49-F238E27FC236}">
              <a16:creationId xmlns:a16="http://schemas.microsoft.com/office/drawing/2014/main" id="{AE4D0E6F-7331-4433-98EF-F49C2CB62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34</xdr:row>
      <xdr:rowOff>18143</xdr:rowOff>
    </xdr:from>
    <xdr:to>
      <xdr:col>10</xdr:col>
      <xdr:colOff>508000</xdr:colOff>
      <xdr:row>48</xdr:row>
      <xdr:rowOff>35380</xdr:rowOff>
    </xdr:to>
    <xdr:graphicFrame macro="">
      <xdr:nvGraphicFramePr>
        <xdr:cNvPr id="10" name="Chart 9">
          <a:extLst>
            <a:ext uri="{FF2B5EF4-FFF2-40B4-BE49-F238E27FC236}">
              <a16:creationId xmlns:a16="http://schemas.microsoft.com/office/drawing/2014/main" id="{8E1028A5-3BDE-4000-8B7C-6852B308C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154214</xdr:colOff>
      <xdr:row>34</xdr:row>
      <xdr:rowOff>0</xdr:rowOff>
    </xdr:from>
    <xdr:to>
      <xdr:col>21</xdr:col>
      <xdr:colOff>498929</xdr:colOff>
      <xdr:row>48</xdr:row>
      <xdr:rowOff>18143</xdr:rowOff>
    </xdr:to>
    <xdr:graphicFrame macro="">
      <xdr:nvGraphicFramePr>
        <xdr:cNvPr id="11" name="Chart 10">
          <a:extLst>
            <a:ext uri="{FF2B5EF4-FFF2-40B4-BE49-F238E27FC236}">
              <a16:creationId xmlns:a16="http://schemas.microsoft.com/office/drawing/2014/main" id="{9280018D-8D9D-4149-B0BC-5C9F24242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127000</xdr:colOff>
      <xdr:row>18</xdr:row>
      <xdr:rowOff>0</xdr:rowOff>
    </xdr:from>
    <xdr:to>
      <xdr:col>21</xdr:col>
      <xdr:colOff>523875</xdr:colOff>
      <xdr:row>32</xdr:row>
      <xdr:rowOff>174625</xdr:rowOff>
    </xdr:to>
    <xdr:graphicFrame macro="">
      <xdr:nvGraphicFramePr>
        <xdr:cNvPr id="13" name="Chart 12">
          <a:extLst>
            <a:ext uri="{FF2B5EF4-FFF2-40B4-BE49-F238E27FC236}">
              <a16:creationId xmlns:a16="http://schemas.microsoft.com/office/drawing/2014/main" id="{56B31202-EAC0-4FBD-8D61-110329EB6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7.595958912039" createdVersion="7" refreshedVersion="7" minRefreshableVersion="3" recordCount="41" xr:uid="{CE28E175-7664-4EEE-84A6-581BADDF1AF1}">
  <cacheSource type="worksheet">
    <worksheetSource name="mental_health_remote_workers__2"/>
  </cacheSource>
  <cacheFields count="13">
    <cacheField name="Employee_ID" numFmtId="0">
      <sharedItems containsSemiMixedTypes="0" containsString="0" containsNumber="1" containsInteger="1" minValue="2" maxValue="100"/>
    </cacheField>
    <cacheField name="Name" numFmtId="0">
      <sharedItems/>
    </cacheField>
    <cacheField name="Age" numFmtId="0">
      <sharedItems containsSemiMixedTypes="0" containsString="0" containsNumber="1" containsInteger="1" minValue="22" maxValue="49"/>
    </cacheField>
    <cacheField name="Gender" numFmtId="0">
      <sharedItems/>
    </cacheField>
    <cacheField name="Job_Role" numFmtId="0">
      <sharedItems count="6">
        <s v="DevOps Engineer"/>
        <s v="QA Engineer"/>
        <s v="Data Scientist"/>
        <s v="Developer"/>
        <s v="UI/UX Designer"/>
        <s v="Product Manager"/>
      </sharedItems>
    </cacheField>
    <cacheField name="Work_Mode" numFmtId="0">
      <sharedItems/>
    </cacheField>
    <cacheField name="Hours_Worked_Per_Week" numFmtId="0">
      <sharedItems containsSemiMixedTypes="0" containsString="0" containsNumber="1" minValue="33.4" maxValue="51.4" count="36">
        <n v="40.4"/>
        <n v="45"/>
        <n v="37"/>
        <n v="47.8"/>
        <n v="45.1"/>
        <n v="46.9"/>
        <n v="43.2"/>
        <n v="39.5"/>
        <n v="34.799999999999997"/>
        <n v="43.6"/>
        <n v="49.4"/>
        <n v="46.3"/>
        <n v="40.6"/>
        <n v="49.7"/>
        <n v="41.5"/>
        <n v="43.1"/>
        <n v="44.5"/>
        <n v="46.8"/>
        <n v="37.799999999999997"/>
        <n v="39.4"/>
        <n v="42.8"/>
        <n v="51.4"/>
        <n v="39.1"/>
        <n v="37.5"/>
        <n v="51.2"/>
        <n v="47.9"/>
        <n v="33.4"/>
        <n v="48.2"/>
        <n v="42.2"/>
        <n v="39.700000000000003"/>
        <n v="36.700000000000003"/>
        <n v="42.6"/>
        <n v="45.6"/>
        <n v="34.299999999999997"/>
        <n v="48.4"/>
        <n v="38.299999999999997"/>
      </sharedItems>
      <fieldGroup base="6">
        <rangePr startNum="33.4" endNum="51.4" groupInterval="5"/>
        <groupItems count="6">
          <s v="&lt;33.4"/>
          <s v="33.4-38.4"/>
          <s v="38.4-43.4"/>
          <s v="43.4-48.4"/>
          <s v="48.4-53.4"/>
          <s v="&gt;53.4"/>
        </groupItems>
      </fieldGroup>
    </cacheField>
    <cacheField name="Productivity_Score" numFmtId="0">
      <sharedItems containsSemiMixedTypes="0" containsString="0" containsNumber="1" minValue="3.1" maxValue="9.6"/>
    </cacheField>
    <cacheField name="Mental_Health_Status" numFmtId="0">
      <sharedItems count="3">
        <s v="Good"/>
        <s v="Poor"/>
        <s v="Moderate"/>
      </sharedItems>
    </cacheField>
    <cacheField name="Burnout_Score" numFmtId="0">
      <sharedItems containsSemiMixedTypes="0" containsString="0" containsNumber="1" containsInteger="1" minValue="14" maxValue="87"/>
    </cacheField>
    <cacheField name="Burnout_level" numFmtId="0">
      <sharedItems count="3">
        <s v="Medium"/>
        <s v="Low"/>
        <s v="High"/>
      </sharedItems>
    </cacheField>
    <cacheField name="Sleep_Hours_Per_Day" numFmtId="0">
      <sharedItems containsSemiMixedTypes="0" containsString="0" containsNumber="1" minValue="4.2" maxValue="8.9" count="27">
        <n v="5.0999999999999996"/>
        <n v="8.6"/>
        <n v="5.3"/>
        <n v="7"/>
        <n v="8"/>
        <n v="4.3"/>
        <n v="4.8"/>
        <n v="4.9000000000000004"/>
        <n v="8.1999999999999993"/>
        <n v="5"/>
        <n v="7.9"/>
        <n v="8.3000000000000007"/>
        <n v="6.3"/>
        <n v="6.4"/>
        <n v="4.2"/>
        <n v="8.9"/>
        <n v="5.5"/>
        <n v="5.9"/>
        <n v="6.9"/>
        <n v="7.6"/>
        <n v="6.7"/>
        <n v="7.8"/>
        <n v="4.4000000000000004"/>
        <n v="6.6"/>
        <n v="6"/>
        <n v="6.5"/>
        <n v="6.8"/>
      </sharedItems>
    </cacheField>
    <cacheField name="Work_Life_Balance_Rating" numFmtId="0">
      <sharedItems containsSemiMixedTypes="0" containsString="0" containsNumber="1" minValue="2" maxValue="10"/>
    </cacheField>
  </cacheFields>
  <extLst>
    <ext xmlns:x14="http://schemas.microsoft.com/office/spreadsheetml/2009/9/main" uri="{725AE2AE-9491-48be-B2B4-4EB974FC3084}">
      <x14:pivotCacheDefinition pivotCacheId="12973471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n v="2"/>
    <s v="User_2"/>
    <n v="41"/>
    <s v="Prefer not to say"/>
    <x v="0"/>
    <s v="Remote"/>
    <x v="0"/>
    <n v="8.4"/>
    <x v="0"/>
    <n v="58"/>
    <x v="0"/>
    <x v="0"/>
    <n v="8.6"/>
  </r>
  <r>
    <n v="6"/>
    <s v="User_6"/>
    <n v="42"/>
    <s v="Female"/>
    <x v="1"/>
    <s v="Remote"/>
    <x v="1"/>
    <n v="6.9"/>
    <x v="1"/>
    <n v="59"/>
    <x v="0"/>
    <x v="1"/>
    <n v="2.5"/>
  </r>
  <r>
    <n v="9"/>
    <s v="User_9"/>
    <n v="40"/>
    <s v="Prefer not to say"/>
    <x v="1"/>
    <s v="Remote"/>
    <x v="2"/>
    <n v="3.9"/>
    <x v="1"/>
    <n v="18"/>
    <x v="1"/>
    <x v="2"/>
    <n v="7.8"/>
  </r>
  <r>
    <n v="11"/>
    <s v="User_11"/>
    <n v="32"/>
    <s v="Male"/>
    <x v="2"/>
    <s v="Remote"/>
    <x v="3"/>
    <n v="8.3000000000000007"/>
    <x v="1"/>
    <n v="85"/>
    <x v="2"/>
    <x v="3"/>
    <n v="3.1"/>
  </r>
  <r>
    <n v="14"/>
    <s v="User_14"/>
    <n v="42"/>
    <s v="Prefer not to say"/>
    <x v="1"/>
    <s v="Remote"/>
    <x v="4"/>
    <n v="4.5"/>
    <x v="0"/>
    <n v="49"/>
    <x v="0"/>
    <x v="4"/>
    <n v="7.9"/>
  </r>
  <r>
    <n v="19"/>
    <s v="User_19"/>
    <n v="43"/>
    <s v="Male"/>
    <x v="3"/>
    <s v="Remote"/>
    <x v="5"/>
    <n v="5.7"/>
    <x v="1"/>
    <n v="81"/>
    <x v="2"/>
    <x v="5"/>
    <n v="8.6999999999999993"/>
  </r>
  <r>
    <n v="26"/>
    <s v="User_26"/>
    <n v="49"/>
    <s v="Prefer not to say"/>
    <x v="2"/>
    <s v="Remote"/>
    <x v="6"/>
    <n v="7.4"/>
    <x v="2"/>
    <n v="14"/>
    <x v="1"/>
    <x v="6"/>
    <n v="2.7"/>
  </r>
  <r>
    <n v="27"/>
    <s v="User_27"/>
    <n v="42"/>
    <s v="Prefer not to say"/>
    <x v="0"/>
    <s v="Remote"/>
    <x v="6"/>
    <n v="9"/>
    <x v="0"/>
    <n v="87"/>
    <x v="2"/>
    <x v="7"/>
    <n v="8.1999999999999993"/>
  </r>
  <r>
    <n v="28"/>
    <s v="User_28"/>
    <n v="22"/>
    <s v="Prefer not to say"/>
    <x v="1"/>
    <s v="Remote"/>
    <x v="7"/>
    <n v="9.6"/>
    <x v="2"/>
    <n v="35"/>
    <x v="1"/>
    <x v="8"/>
    <n v="2.5"/>
  </r>
  <r>
    <n v="31"/>
    <s v="User_31"/>
    <n v="43"/>
    <s v="Non-binary"/>
    <x v="1"/>
    <s v="Remote"/>
    <x v="8"/>
    <n v="6.4"/>
    <x v="2"/>
    <n v="51"/>
    <x v="0"/>
    <x v="0"/>
    <n v="9.3000000000000007"/>
  </r>
  <r>
    <n v="35"/>
    <s v="User_35"/>
    <n v="48"/>
    <s v="Non-binary"/>
    <x v="3"/>
    <s v="Remote"/>
    <x v="9"/>
    <n v="6.4"/>
    <x v="2"/>
    <n v="48"/>
    <x v="0"/>
    <x v="9"/>
    <n v="5.2"/>
  </r>
  <r>
    <n v="36"/>
    <s v="User_36"/>
    <n v="48"/>
    <s v="Male"/>
    <x v="4"/>
    <s v="Remote"/>
    <x v="10"/>
    <n v="5.3"/>
    <x v="1"/>
    <n v="23"/>
    <x v="1"/>
    <x v="10"/>
    <n v="9.6"/>
  </r>
  <r>
    <n v="37"/>
    <s v="User_37"/>
    <n v="31"/>
    <s v="Non-binary"/>
    <x v="1"/>
    <s v="Remote"/>
    <x v="11"/>
    <n v="7.4"/>
    <x v="1"/>
    <n v="41"/>
    <x v="0"/>
    <x v="3"/>
    <n v="3.1"/>
  </r>
  <r>
    <n v="40"/>
    <s v="User_40"/>
    <n v="37"/>
    <s v="Non-binary"/>
    <x v="0"/>
    <s v="Remote"/>
    <x v="2"/>
    <n v="3.9"/>
    <x v="1"/>
    <n v="32"/>
    <x v="1"/>
    <x v="11"/>
    <n v="6.3"/>
  </r>
  <r>
    <n v="42"/>
    <s v="User_42"/>
    <n v="36"/>
    <s v="Male"/>
    <x v="3"/>
    <s v="Remote"/>
    <x v="12"/>
    <n v="4.0999999999999996"/>
    <x v="1"/>
    <n v="24"/>
    <x v="1"/>
    <x v="12"/>
    <n v="8.6999999999999993"/>
  </r>
  <r>
    <n v="43"/>
    <s v="User_43"/>
    <n v="40"/>
    <s v="Prefer not to say"/>
    <x v="0"/>
    <s v="Remote"/>
    <x v="9"/>
    <n v="4"/>
    <x v="0"/>
    <n v="34"/>
    <x v="1"/>
    <x v="13"/>
    <n v="8.8000000000000007"/>
  </r>
  <r>
    <n v="46"/>
    <s v="User_46"/>
    <n v="41"/>
    <s v="Prefer not to say"/>
    <x v="1"/>
    <s v="Remote"/>
    <x v="13"/>
    <n v="5.4"/>
    <x v="2"/>
    <n v="87"/>
    <x v="2"/>
    <x v="14"/>
    <n v="7"/>
  </r>
  <r>
    <n v="47"/>
    <s v="User_47"/>
    <n v="46"/>
    <s v="Prefer not to say"/>
    <x v="4"/>
    <s v="Remote"/>
    <x v="14"/>
    <n v="9.3000000000000007"/>
    <x v="1"/>
    <n v="62"/>
    <x v="2"/>
    <x v="1"/>
    <n v="5.8"/>
  </r>
  <r>
    <n v="51"/>
    <s v="User_51"/>
    <n v="28"/>
    <s v="Non-binary"/>
    <x v="3"/>
    <s v="Remote"/>
    <x v="15"/>
    <n v="4.3"/>
    <x v="0"/>
    <n v="79"/>
    <x v="2"/>
    <x v="14"/>
    <n v="7.6"/>
  </r>
  <r>
    <n v="56"/>
    <s v="User_56"/>
    <n v="25"/>
    <s v="Non-binary"/>
    <x v="0"/>
    <s v="Remote"/>
    <x v="16"/>
    <n v="3.6"/>
    <x v="0"/>
    <n v="81"/>
    <x v="2"/>
    <x v="0"/>
    <n v="2"/>
  </r>
  <r>
    <n v="58"/>
    <s v="User_58"/>
    <n v="49"/>
    <s v="Prefer not to say"/>
    <x v="3"/>
    <s v="Remote"/>
    <x v="17"/>
    <n v="6.2"/>
    <x v="1"/>
    <n v="73"/>
    <x v="2"/>
    <x v="15"/>
    <n v="2"/>
  </r>
  <r>
    <n v="65"/>
    <s v="User_65"/>
    <n v="23"/>
    <s v="Non-binary"/>
    <x v="2"/>
    <s v="Remote"/>
    <x v="18"/>
    <n v="7.4"/>
    <x v="2"/>
    <n v="47"/>
    <x v="0"/>
    <x v="16"/>
    <n v="6.2"/>
  </r>
  <r>
    <n v="68"/>
    <s v="User_68"/>
    <n v="36"/>
    <s v="Male"/>
    <x v="5"/>
    <s v="Remote"/>
    <x v="19"/>
    <n v="9.4"/>
    <x v="0"/>
    <n v="64"/>
    <x v="2"/>
    <x v="4"/>
    <n v="8.1"/>
  </r>
  <r>
    <n v="70"/>
    <s v="User_70"/>
    <n v="28"/>
    <s v="Female"/>
    <x v="1"/>
    <s v="Remote"/>
    <x v="20"/>
    <n v="4.9000000000000004"/>
    <x v="1"/>
    <n v="77"/>
    <x v="2"/>
    <x v="12"/>
    <n v="8.1"/>
  </r>
  <r>
    <n v="72"/>
    <s v="User_72"/>
    <n v="29"/>
    <s v="Non-binary"/>
    <x v="1"/>
    <s v="Remote"/>
    <x v="21"/>
    <n v="8.1999999999999993"/>
    <x v="2"/>
    <n v="19"/>
    <x v="1"/>
    <x v="17"/>
    <n v="7.1"/>
  </r>
  <r>
    <n v="73"/>
    <s v="User_73"/>
    <n v="36"/>
    <s v="Female"/>
    <x v="3"/>
    <s v="Remote"/>
    <x v="17"/>
    <n v="4.3"/>
    <x v="2"/>
    <n v="14"/>
    <x v="1"/>
    <x v="8"/>
    <n v="9.8000000000000007"/>
  </r>
  <r>
    <n v="74"/>
    <s v="User_74"/>
    <n v="24"/>
    <s v="Non-binary"/>
    <x v="4"/>
    <s v="Remote"/>
    <x v="22"/>
    <n v="4.5"/>
    <x v="2"/>
    <n v="83"/>
    <x v="2"/>
    <x v="18"/>
    <n v="9.1999999999999993"/>
  </r>
  <r>
    <n v="75"/>
    <s v="User_75"/>
    <n v="35"/>
    <s v="Non-binary"/>
    <x v="5"/>
    <s v="Remote"/>
    <x v="23"/>
    <n v="5.6"/>
    <x v="0"/>
    <n v="47"/>
    <x v="0"/>
    <x v="16"/>
    <n v="7.2"/>
  </r>
  <r>
    <n v="76"/>
    <s v="User_76"/>
    <n v="38"/>
    <s v="Male"/>
    <x v="1"/>
    <s v="Remote"/>
    <x v="16"/>
    <n v="6.4"/>
    <x v="2"/>
    <n v="22"/>
    <x v="1"/>
    <x v="19"/>
    <n v="7.5"/>
  </r>
  <r>
    <n v="78"/>
    <s v="User_78"/>
    <n v="39"/>
    <s v="Non-binary"/>
    <x v="3"/>
    <s v="Remote"/>
    <x v="24"/>
    <n v="5.6"/>
    <x v="1"/>
    <n v="56"/>
    <x v="0"/>
    <x v="20"/>
    <n v="7.4"/>
  </r>
  <r>
    <n v="79"/>
    <s v="User_79"/>
    <n v="29"/>
    <s v="Female"/>
    <x v="3"/>
    <s v="Remote"/>
    <x v="25"/>
    <n v="6.2"/>
    <x v="0"/>
    <n v="61"/>
    <x v="2"/>
    <x v="13"/>
    <n v="2.4"/>
  </r>
  <r>
    <n v="81"/>
    <s v="User_81"/>
    <n v="23"/>
    <s v="Prefer not to say"/>
    <x v="0"/>
    <s v="Remote"/>
    <x v="26"/>
    <n v="3.3"/>
    <x v="1"/>
    <n v="24"/>
    <x v="1"/>
    <x v="21"/>
    <n v="10"/>
  </r>
  <r>
    <n v="84"/>
    <s v="User_84"/>
    <n v="31"/>
    <s v="Non-binary"/>
    <x v="4"/>
    <s v="Remote"/>
    <x v="27"/>
    <n v="9.3000000000000007"/>
    <x v="2"/>
    <n v="14"/>
    <x v="1"/>
    <x v="22"/>
    <n v="4.5"/>
  </r>
  <r>
    <n v="88"/>
    <s v="User_88"/>
    <n v="47"/>
    <s v="Prefer not to say"/>
    <x v="4"/>
    <s v="Remote"/>
    <x v="28"/>
    <n v="6.1"/>
    <x v="2"/>
    <n v="85"/>
    <x v="2"/>
    <x v="23"/>
    <n v="2.9"/>
  </r>
  <r>
    <n v="89"/>
    <s v="User_89"/>
    <n v="33"/>
    <s v="Male"/>
    <x v="5"/>
    <s v="Remote"/>
    <x v="29"/>
    <n v="6.7"/>
    <x v="2"/>
    <n v="54"/>
    <x v="0"/>
    <x v="4"/>
    <n v="5.4"/>
  </r>
  <r>
    <n v="91"/>
    <s v="User_91"/>
    <n v="31"/>
    <s v="Prefer not to say"/>
    <x v="4"/>
    <s v="Remote"/>
    <x v="30"/>
    <n v="4.9000000000000004"/>
    <x v="2"/>
    <n v="36"/>
    <x v="1"/>
    <x v="8"/>
    <n v="8"/>
  </r>
  <r>
    <n v="93"/>
    <s v="User_93"/>
    <n v="35"/>
    <s v="Male"/>
    <x v="0"/>
    <s v="Remote"/>
    <x v="31"/>
    <n v="3.1"/>
    <x v="1"/>
    <n v="45"/>
    <x v="0"/>
    <x v="24"/>
    <n v="5.6"/>
  </r>
  <r>
    <n v="95"/>
    <s v="User_95"/>
    <n v="36"/>
    <s v="Non-binary"/>
    <x v="5"/>
    <s v="Remote"/>
    <x v="32"/>
    <n v="4.5"/>
    <x v="0"/>
    <n v="52"/>
    <x v="0"/>
    <x v="2"/>
    <n v="7.2"/>
  </r>
  <r>
    <n v="97"/>
    <s v="User_97"/>
    <n v="35"/>
    <s v="Non-binary"/>
    <x v="3"/>
    <s v="Remote"/>
    <x v="33"/>
    <n v="3.8"/>
    <x v="0"/>
    <n v="78"/>
    <x v="2"/>
    <x v="25"/>
    <n v="4.9000000000000004"/>
  </r>
  <r>
    <n v="98"/>
    <s v="User_98"/>
    <n v="44"/>
    <s v="Non-binary"/>
    <x v="1"/>
    <s v="Remote"/>
    <x v="34"/>
    <n v="9.1999999999999993"/>
    <x v="1"/>
    <n v="29"/>
    <x v="1"/>
    <x v="3"/>
    <n v="6.5"/>
  </r>
  <r>
    <n v="100"/>
    <s v="User_100"/>
    <n v="46"/>
    <s v="Prefer not to say"/>
    <x v="5"/>
    <s v="Remote"/>
    <x v="35"/>
    <n v="7.8"/>
    <x v="2"/>
    <n v="83"/>
    <x v="2"/>
    <x v="26"/>
    <n v="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5FD5A5-818D-494D-9A68-568F3425217B}"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27:B34" firstHeaderRow="1" firstDataRow="1" firstDataCol="1" rowPageCount="1" colPageCount="1"/>
  <pivotFields count="13">
    <pivotField showAll="0"/>
    <pivotField showAll="0"/>
    <pivotField showAll="0"/>
    <pivotField showAll="0"/>
    <pivotField axis="axisRow" showAll="0">
      <items count="7">
        <item x="2"/>
        <item x="3"/>
        <item x="0"/>
        <item x="5"/>
        <item x="1"/>
        <item x="4"/>
        <item t="default"/>
      </items>
    </pivotField>
    <pivotField showAll="0"/>
    <pivotField showAll="0"/>
    <pivotField showAll="0"/>
    <pivotField axis="axisPage" dataField="1" showAll="0">
      <items count="4">
        <item x="0"/>
        <item x="2"/>
        <item x="1"/>
        <item t="default"/>
      </items>
    </pivotField>
    <pivotField showAll="0"/>
    <pivotField showAll="0">
      <items count="4">
        <item x="2"/>
        <item x="1"/>
        <item x="0"/>
        <item t="default"/>
      </items>
    </pivotField>
    <pivotField showAll="0"/>
    <pivotField showAll="0"/>
  </pivotFields>
  <rowFields count="1">
    <field x="4"/>
  </rowFields>
  <rowItems count="7">
    <i>
      <x/>
    </i>
    <i>
      <x v="1"/>
    </i>
    <i>
      <x v="2"/>
    </i>
    <i>
      <x v="3"/>
    </i>
    <i>
      <x v="4"/>
    </i>
    <i>
      <x v="5"/>
    </i>
    <i t="grand">
      <x/>
    </i>
  </rowItems>
  <colItems count="1">
    <i/>
  </colItems>
  <pageFields count="1">
    <pageField fld="8" hier="-1"/>
  </pageFields>
  <dataFields count="1">
    <dataField name="% of Mental_Health_Status" fld="8" subtotal="count" showDataAs="percentOfTotal" baseField="4"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9D2E8C-B768-4B2C-979D-97D0A73C4FBA}"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5:B10" firstHeaderRow="1" firstDataRow="1" firstDataCol="1"/>
  <pivotFields count="13">
    <pivotField showAll="0"/>
    <pivotField showAll="0"/>
    <pivotField showAll="0"/>
    <pivotField showAll="0"/>
    <pivotField showAll="0">
      <items count="7">
        <item x="2"/>
        <item x="3"/>
        <item x="0"/>
        <item x="5"/>
        <item x="1"/>
        <item x="4"/>
        <item t="default"/>
      </items>
    </pivotField>
    <pivotField showAll="0"/>
    <pivotField axis="axisRow" showAll="0">
      <items count="7">
        <item x="0"/>
        <item x="1"/>
        <item x="2"/>
        <item x="3"/>
        <item x="4"/>
        <item x="5"/>
        <item t="default"/>
      </items>
    </pivotField>
    <pivotField showAll="0"/>
    <pivotField showAll="0">
      <items count="4">
        <item x="0"/>
        <item x="2"/>
        <item x="1"/>
        <item t="default"/>
      </items>
    </pivotField>
    <pivotField dataField="1" showAll="0"/>
    <pivotField showAll="0">
      <items count="4">
        <item x="2"/>
        <item x="1"/>
        <item x="0"/>
        <item t="default"/>
      </items>
    </pivotField>
    <pivotField showAll="0"/>
    <pivotField showAll="0"/>
  </pivotFields>
  <rowFields count="1">
    <field x="6"/>
  </rowFields>
  <rowItems count="5">
    <i>
      <x v="1"/>
    </i>
    <i>
      <x v="2"/>
    </i>
    <i>
      <x v="3"/>
    </i>
    <i>
      <x v="4"/>
    </i>
    <i t="grand">
      <x/>
    </i>
  </rowItems>
  <colItems count="1">
    <i/>
  </colItems>
  <dataFields count="1">
    <dataField name="Average of Burnout_Score" fld="9" subtotal="average" baseField="6"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AB5559-9826-48DD-933C-62E000A721EF}"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30:B137" firstHeaderRow="1" firstDataRow="1" firstDataCol="1"/>
  <pivotFields count="13">
    <pivotField showAll="0"/>
    <pivotField showAll="0"/>
    <pivotField showAll="0"/>
    <pivotField showAll="0"/>
    <pivotField axis="axisRow" showAll="0">
      <items count="7">
        <item x="2"/>
        <item x="3"/>
        <item x="0"/>
        <item x="5"/>
        <item x="1"/>
        <item x="4"/>
        <item t="default"/>
      </items>
    </pivotField>
    <pivotField showAll="0"/>
    <pivotField showAll="0"/>
    <pivotField showAll="0"/>
    <pivotField showAll="0">
      <items count="4">
        <item x="0"/>
        <item x="2"/>
        <item x="1"/>
        <item t="default"/>
      </items>
    </pivotField>
    <pivotField dataField="1" showAll="0"/>
    <pivotField showAll="0">
      <items count="4">
        <item x="2"/>
        <item x="1"/>
        <item x="0"/>
        <item t="default"/>
      </items>
    </pivotField>
    <pivotField showAll="0"/>
    <pivotField showAll="0"/>
  </pivotFields>
  <rowFields count="1">
    <field x="4"/>
  </rowFields>
  <rowItems count="7">
    <i>
      <x/>
    </i>
    <i>
      <x v="1"/>
    </i>
    <i>
      <x v="2"/>
    </i>
    <i>
      <x v="3"/>
    </i>
    <i>
      <x v="4"/>
    </i>
    <i>
      <x v="5"/>
    </i>
    <i t="grand">
      <x/>
    </i>
  </rowItems>
  <colItems count="1">
    <i/>
  </colItems>
  <dataFields count="1">
    <dataField name="Average of Burnout_Score" fld="9" subtotal="average" baseField="4"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576F5C-ABF4-4FF5-AF01-65E5F0F171AE}"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92:B96" firstHeaderRow="1" firstDataRow="1" firstDataCol="1"/>
  <pivotFields count="13">
    <pivotField showAll="0"/>
    <pivotField showAll="0"/>
    <pivotField showAll="0"/>
    <pivotField showAll="0"/>
    <pivotField showAll="0">
      <items count="7">
        <item x="2"/>
        <item x="3"/>
        <item x="0"/>
        <item x="5"/>
        <item x="1"/>
        <item x="4"/>
        <item t="default"/>
      </items>
    </pivotField>
    <pivotField showAll="0"/>
    <pivotField showAll="0"/>
    <pivotField showAll="0"/>
    <pivotField axis="axisRow" showAll="0">
      <items count="4">
        <item x="0"/>
        <item n=" " x="2"/>
        <item x="1"/>
        <item t="default"/>
      </items>
    </pivotField>
    <pivotField showAll="0"/>
    <pivotField showAll="0">
      <items count="4">
        <item x="2"/>
        <item x="1"/>
        <item x="0"/>
        <item t="default"/>
      </items>
    </pivotField>
    <pivotField dataField="1" showAll="0">
      <items count="28">
        <item x="14"/>
        <item x="5"/>
        <item x="22"/>
        <item x="6"/>
        <item x="7"/>
        <item x="9"/>
        <item x="0"/>
        <item x="2"/>
        <item x="16"/>
        <item x="17"/>
        <item x="24"/>
        <item x="12"/>
        <item x="13"/>
        <item x="25"/>
        <item x="23"/>
        <item x="20"/>
        <item x="26"/>
        <item x="18"/>
        <item x="3"/>
        <item x="19"/>
        <item x="21"/>
        <item x="10"/>
        <item x="4"/>
        <item x="8"/>
        <item x="11"/>
        <item x="1"/>
        <item x="15"/>
        <item t="default"/>
      </items>
    </pivotField>
    <pivotField showAll="0"/>
  </pivotFields>
  <rowFields count="1">
    <field x="8"/>
  </rowFields>
  <rowItems count="4">
    <i>
      <x/>
    </i>
    <i>
      <x v="1"/>
    </i>
    <i>
      <x v="2"/>
    </i>
    <i t="grand">
      <x/>
    </i>
  </rowItems>
  <colItems count="1">
    <i/>
  </colItems>
  <dataFields count="1">
    <dataField name="Average of Sleep_Hours_Per_Day" fld="11" subtotal="average" baseField="8" baseItem="0"/>
  </dataFields>
  <chartFormats count="5">
    <chartFormat chart="0" format="3" series="1">
      <pivotArea type="data" outline="0" fieldPosition="0">
        <references count="1">
          <reference field="8" count="1" selected="0">
            <x v="0"/>
          </reference>
        </references>
      </pivotArea>
    </chartFormat>
    <chartFormat chart="0" format="4" series="1">
      <pivotArea type="data" outline="0" fieldPosition="0">
        <references count="1">
          <reference field="8" count="1" selected="0">
            <x v="1"/>
          </reference>
        </references>
      </pivotArea>
    </chartFormat>
    <chartFormat chart="0" format="5" series="1">
      <pivotArea type="data" outline="0" fieldPosition="0">
        <references count="1">
          <reference field="8" count="1" selected="0">
            <x v="2"/>
          </reference>
        </references>
      </pivotArea>
    </chartFormat>
    <chartFormat chart="0" format="6"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FB92B3-79A1-407A-8521-C7ADFACB6066}"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3:E58" firstHeaderRow="1" firstDataRow="2" firstDataCol="1"/>
  <pivotFields count="13">
    <pivotField showAll="0"/>
    <pivotField showAll="0"/>
    <pivotField showAll="0"/>
    <pivotField showAll="0"/>
    <pivotField showAll="0">
      <items count="7">
        <item x="2"/>
        <item x="3"/>
        <item x="0"/>
        <item x="5"/>
        <item x="1"/>
        <item x="4"/>
        <item t="default"/>
      </items>
    </pivotField>
    <pivotField showAll="0"/>
    <pivotField showAll="0"/>
    <pivotField dataField="1" showAll="0"/>
    <pivotField axis="axisRow" showAll="0">
      <items count="4">
        <item x="0"/>
        <item x="2"/>
        <item x="1"/>
        <item t="default"/>
      </items>
    </pivotField>
    <pivotField showAll="0"/>
    <pivotField axis="axisCol" showAll="0" sortType="ascending">
      <items count="4">
        <item x="2"/>
        <item x="1"/>
        <item x="0"/>
        <item t="default"/>
      </items>
    </pivotField>
    <pivotField showAll="0"/>
    <pivotField showAll="0"/>
  </pivotFields>
  <rowFields count="1">
    <field x="8"/>
  </rowFields>
  <rowItems count="4">
    <i>
      <x/>
    </i>
    <i>
      <x v="1"/>
    </i>
    <i>
      <x v="2"/>
    </i>
    <i t="grand">
      <x/>
    </i>
  </rowItems>
  <colFields count="1">
    <field x="10"/>
  </colFields>
  <colItems count="4">
    <i>
      <x/>
    </i>
    <i>
      <x v="1"/>
    </i>
    <i>
      <x v="2"/>
    </i>
    <i t="grand">
      <x/>
    </i>
  </colItems>
  <dataFields count="1">
    <dataField name="Average of Productivity_Score" fld="7" subtotal="average" baseField="10" baseItem="0"/>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3" format="6" series="1">
      <pivotArea type="data" outline="0" fieldPosition="0">
        <references count="2">
          <reference field="4294967294" count="1" selected="0">
            <x v="0"/>
          </reference>
          <reference field="10" count="1" selected="0">
            <x v="0"/>
          </reference>
        </references>
      </pivotArea>
    </chartFormat>
    <chartFormat chart="3" format="7" series="1">
      <pivotArea type="data" outline="0" fieldPosition="0">
        <references count="2">
          <reference field="4294967294" count="1" selected="0">
            <x v="0"/>
          </reference>
          <reference field="10" count="1" selected="0">
            <x v="1"/>
          </reference>
        </references>
      </pivotArea>
    </chartFormat>
    <chartFormat chart="3"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F5E6C81-5CA7-4EB1-9102-A77DFF3F22C1}" autoFormatId="16" applyNumberFormats="0" applyBorderFormats="0" applyFontFormats="0" applyPatternFormats="0" applyAlignmentFormats="0" applyWidthHeightFormats="0">
  <queryTableRefresh nextId="14">
    <queryTableFields count="13">
      <queryTableField id="1" name="Employee_ID" tableColumnId="1"/>
      <queryTableField id="2" name="Name" tableColumnId="2"/>
      <queryTableField id="3" name="Age" tableColumnId="3"/>
      <queryTableField id="4" name="Gender" tableColumnId="4"/>
      <queryTableField id="5" name="Job_Role" tableColumnId="5"/>
      <queryTableField id="6" name="Work_Mode" tableColumnId="6"/>
      <queryTableField id="7" name="Hours_Worked_Per_Week" tableColumnId="7"/>
      <queryTableField id="8" name="Productivity_Score" tableColumnId="8"/>
      <queryTableField id="9" name="Mental_Health_Status" tableColumnId="9"/>
      <queryTableField id="10" name="Burnout_Score" tableColumnId="10"/>
      <queryTableField id="11" name="Burnout_level" tableColumnId="11"/>
      <queryTableField id="12" name="Sleep_Hours_Per_Day" tableColumnId="12"/>
      <queryTableField id="13" name="Work_Life_Balance_Rating"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7573BC42-DBF7-4D33-BE0F-9781F7C51ADA}" sourceName="Job_Role">
  <pivotTables>
    <pivotTable tabId="6" name="PivotTable3"/>
    <pivotTable tabId="6" name="PivotTable2"/>
    <pivotTable tabId="6" name="PivotTable4"/>
    <pivotTable tabId="6" name="PivotTable5"/>
    <pivotTable tabId="6" name="PivotTable8"/>
  </pivotTables>
  <data>
    <tabular pivotCacheId="1297347105">
      <items count="6">
        <i x="2" s="1"/>
        <i x="3" s="1"/>
        <i x="0" s="1"/>
        <i x="5"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rnout_level" xr10:uid="{19444813-8885-41F2-BBDD-E1F9B92674FE}" sourceName="Burnout_level">
  <pivotTables>
    <pivotTable tabId="6" name="PivotTable4"/>
    <pivotTable tabId="6" name="PivotTable2"/>
    <pivotTable tabId="6" name="PivotTable3"/>
    <pivotTable tabId="6" name="PivotTable5"/>
    <pivotTable tabId="6" name="PivotTable8"/>
  </pivotTables>
  <data>
    <tabular pivotCacheId="129734710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tal_Health_Status" xr10:uid="{2A93984A-236A-4D66-9283-E4F7E08BFF83}" sourceName="Mental_Health_Status">
  <pivotTables>
    <pivotTable tabId="6" name="PivotTable4"/>
    <pivotTable tabId="6" name="PivotTable2"/>
    <pivotTable tabId="6" name="PivotTable3"/>
    <pivotTable tabId="6" name="PivotTable5"/>
    <pivotTable tabId="6" name="PivotTable8"/>
  </pivotTables>
  <data>
    <tabular pivotCacheId="129734710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Role" xr10:uid="{DAA574C9-E8D4-4A6F-8C28-28A348F876A6}" cache="Slicer_Job_Role" caption="Job_Role" rowHeight="241300"/>
  <slicer name="Burnout_level" xr10:uid="{F5C2AEC4-5BF3-4CC4-B843-7F951065E46C}" cache="Slicer_Burnout_level" caption="Burnout_level" rowHeight="241300"/>
  <slicer name="Mental_Health_Status" xr10:uid="{E0391EDC-BFA0-4777-B47D-A50191E1AE8C}" cache="Slicer_Mental_Health_Status" caption="Mental_Health_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Role 1" xr10:uid="{526A7201-4735-4CAA-BF40-4AA2D8F89CF8}" cache="Slicer_Job_Role" caption="Job_Role" rowHeight="241300"/>
  <slicer name="Burnout_level 1" xr10:uid="{AC6E7538-B435-4ABF-9535-B988B8C488C6}" cache="Slicer_Burnout_level" caption="Burnout_level" rowHeight="241300"/>
  <slicer name="Mental_Health_Status 1" xr10:uid="{A2E3C1E4-217E-48F7-8BCE-650C99888D86}" cache="Slicer_Mental_Health_Status" caption="Mental_Health_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6CDA36-6C88-4E70-B710-3D962F589CCB}" name="mental_health_remote_workers__2" displayName="mental_health_remote_workers__2" ref="A1:M42" tableType="queryTable" totalsRowShown="0">
  <autoFilter ref="A1:M42" xr:uid="{DC6CDA36-6C88-4E70-B710-3D962F589CCB}"/>
  <tableColumns count="13">
    <tableColumn id="1" xr3:uid="{78C478DA-CDB2-4DB4-B87E-F2CC54CC8177}" uniqueName="1" name="Employee_ID" queryTableFieldId="1"/>
    <tableColumn id="2" xr3:uid="{BE99EB7A-FBCC-46F7-845D-4149CFE58C15}" uniqueName="2" name="Name" queryTableFieldId="2" dataDxfId="4"/>
    <tableColumn id="3" xr3:uid="{8051B3C3-683B-432B-AC60-34D7077EB6D2}" uniqueName="3" name="Age" queryTableFieldId="3"/>
    <tableColumn id="4" xr3:uid="{D0B285E1-FAB6-441E-87F0-7E794EB30C8F}" uniqueName="4" name="Gender" queryTableFieldId="4" dataDxfId="3"/>
    <tableColumn id="5" xr3:uid="{EF818193-E347-4FA1-BD6D-17748C398C11}" uniqueName="5" name="Job_Role" queryTableFieldId="5" dataDxfId="2"/>
    <tableColumn id="6" xr3:uid="{E313FFE5-A873-4E8F-965B-B15FEDFFEB8B}" uniqueName="6" name="Work_Mode" queryTableFieldId="6" dataDxfId="1"/>
    <tableColumn id="7" xr3:uid="{6890072B-CA4C-485E-B5AD-34F7F1F79089}" uniqueName="7" name="Hours_Worked_Per_Week" queryTableFieldId="7"/>
    <tableColumn id="8" xr3:uid="{2C2085DD-056B-4D4A-9FC2-D3CF131CCA2A}" uniqueName="8" name="Productivity_Score" queryTableFieldId="8"/>
    <tableColumn id="9" xr3:uid="{2D6D4FD6-9651-4428-825A-6D9AC2309DA1}" uniqueName="9" name="Mental_Health_Status" queryTableFieldId="9" dataDxfId="0"/>
    <tableColumn id="10" xr3:uid="{409FB62C-0D77-49BE-942A-505C7C6B9094}" uniqueName="10" name="Burnout_Score" queryTableFieldId="10"/>
    <tableColumn id="11" xr3:uid="{8E1CFE95-F0E8-4EC5-881B-E14999EE8501}" uniqueName="11" name="Burnout_level" queryTableFieldId="11"/>
    <tableColumn id="12" xr3:uid="{CAABFF12-8041-4857-B0AB-5E0B16ABB0F0}" uniqueName="12" name="Sleep_Hours_Per_Day" queryTableFieldId="12"/>
    <tableColumn id="13" xr3:uid="{35E4A9C0-6D1A-4E1C-9DA6-5A9C0B04CBDA}" uniqueName="13" name="Work_Life_Balance_Rating"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B5A47-845E-43A4-9E3F-68F5F716999A}">
  <dimension ref="A1:M42"/>
  <sheetViews>
    <sheetView workbookViewId="0">
      <selection activeCell="J11" sqref="J11"/>
    </sheetView>
  </sheetViews>
  <sheetFormatPr defaultRowHeight="14.5" x14ac:dyDescent="0.35"/>
  <cols>
    <col min="1" max="1" width="14.08984375" bestFit="1" customWidth="1"/>
    <col min="2" max="2" width="8.6328125" bestFit="1" customWidth="1"/>
    <col min="3" max="3" width="6.1796875" bestFit="1" customWidth="1"/>
    <col min="4" max="4" width="14.6328125" bestFit="1" customWidth="1"/>
    <col min="5" max="5" width="15.26953125" bestFit="1" customWidth="1"/>
    <col min="6" max="6" width="13.6328125" bestFit="1" customWidth="1"/>
    <col min="7" max="7" width="25.7265625" bestFit="1" customWidth="1"/>
    <col min="8" max="8" width="18.81640625" bestFit="1" customWidth="1"/>
    <col min="9" max="9" width="22.08984375" bestFit="1" customWidth="1"/>
    <col min="10" max="10" width="15.6328125" bestFit="1" customWidth="1"/>
    <col min="11" max="11" width="14.81640625" bestFit="1" customWidth="1"/>
    <col min="12" max="12" width="21.7265625" bestFit="1" customWidth="1"/>
    <col min="13" max="13" width="25.6328125" bestFit="1" customWidth="1"/>
  </cols>
  <sheetData>
    <row r="1" spans="1:13" x14ac:dyDescent="0.35">
      <c r="A1" t="s">
        <v>0</v>
      </c>
      <c r="B1" t="s">
        <v>1</v>
      </c>
      <c r="C1" t="s">
        <v>2</v>
      </c>
      <c r="D1" t="s">
        <v>3</v>
      </c>
      <c r="E1" t="s">
        <v>4</v>
      </c>
      <c r="F1" t="s">
        <v>5</v>
      </c>
      <c r="G1" t="s">
        <v>6</v>
      </c>
      <c r="H1" t="s">
        <v>7</v>
      </c>
      <c r="I1" t="s">
        <v>8</v>
      </c>
      <c r="J1" t="s">
        <v>9</v>
      </c>
      <c r="K1" t="s">
        <v>88</v>
      </c>
      <c r="L1" t="s">
        <v>10</v>
      </c>
      <c r="M1" t="s">
        <v>11</v>
      </c>
    </row>
    <row r="2" spans="1:13" x14ac:dyDescent="0.35">
      <c r="A2">
        <v>2</v>
      </c>
      <c r="B2" s="1" t="s">
        <v>15</v>
      </c>
      <c r="C2">
        <v>41</v>
      </c>
      <c r="D2" s="1" t="s">
        <v>16</v>
      </c>
      <c r="E2" s="1" t="s">
        <v>17</v>
      </c>
      <c r="F2" s="1" t="s">
        <v>18</v>
      </c>
      <c r="G2">
        <v>40.4</v>
      </c>
      <c r="H2">
        <v>8.4</v>
      </c>
      <c r="I2" s="1" t="s">
        <v>19</v>
      </c>
      <c r="J2">
        <v>58</v>
      </c>
      <c r="K2" t="s">
        <v>89</v>
      </c>
      <c r="L2">
        <v>5.0999999999999996</v>
      </c>
      <c r="M2">
        <v>8.6</v>
      </c>
    </row>
    <row r="3" spans="1:13" x14ac:dyDescent="0.35">
      <c r="A3">
        <v>6</v>
      </c>
      <c r="B3" s="1" t="s">
        <v>24</v>
      </c>
      <c r="C3">
        <v>42</v>
      </c>
      <c r="D3" s="1" t="s">
        <v>12</v>
      </c>
      <c r="E3" s="1" t="s">
        <v>13</v>
      </c>
      <c r="F3" s="1" t="s">
        <v>18</v>
      </c>
      <c r="G3">
        <v>45</v>
      </c>
      <c r="H3">
        <v>6.9</v>
      </c>
      <c r="I3" s="1" t="s">
        <v>14</v>
      </c>
      <c r="J3">
        <v>59</v>
      </c>
      <c r="K3" t="s">
        <v>89</v>
      </c>
      <c r="L3">
        <v>8.6</v>
      </c>
      <c r="M3">
        <v>2.5</v>
      </c>
    </row>
    <row r="4" spans="1:13" x14ac:dyDescent="0.35">
      <c r="A4">
        <v>9</v>
      </c>
      <c r="B4" s="1" t="s">
        <v>26</v>
      </c>
      <c r="C4">
        <v>40</v>
      </c>
      <c r="D4" s="1" t="s">
        <v>16</v>
      </c>
      <c r="E4" s="1" t="s">
        <v>13</v>
      </c>
      <c r="F4" s="1" t="s">
        <v>18</v>
      </c>
      <c r="G4">
        <v>37</v>
      </c>
      <c r="H4">
        <v>3.9</v>
      </c>
      <c r="I4" s="1" t="s">
        <v>14</v>
      </c>
      <c r="J4">
        <v>18</v>
      </c>
      <c r="K4" t="s">
        <v>90</v>
      </c>
      <c r="L4">
        <v>5.3</v>
      </c>
      <c r="M4">
        <v>7.8</v>
      </c>
    </row>
    <row r="5" spans="1:13" x14ac:dyDescent="0.35">
      <c r="A5">
        <v>11</v>
      </c>
      <c r="B5" s="1" t="s">
        <v>27</v>
      </c>
      <c r="C5">
        <v>32</v>
      </c>
      <c r="D5" s="1" t="s">
        <v>20</v>
      </c>
      <c r="E5" s="1" t="s">
        <v>28</v>
      </c>
      <c r="F5" s="1" t="s">
        <v>18</v>
      </c>
      <c r="G5">
        <v>47.8</v>
      </c>
      <c r="H5">
        <v>8.3000000000000007</v>
      </c>
      <c r="I5" s="1" t="s">
        <v>14</v>
      </c>
      <c r="J5">
        <v>85</v>
      </c>
      <c r="K5" t="s">
        <v>91</v>
      </c>
      <c r="L5">
        <v>7</v>
      </c>
      <c r="M5">
        <v>3.1</v>
      </c>
    </row>
    <row r="6" spans="1:13" x14ac:dyDescent="0.35">
      <c r="A6">
        <v>14</v>
      </c>
      <c r="B6" s="1" t="s">
        <v>29</v>
      </c>
      <c r="C6">
        <v>42</v>
      </c>
      <c r="D6" s="1" t="s">
        <v>16</v>
      </c>
      <c r="E6" s="1" t="s">
        <v>13</v>
      </c>
      <c r="F6" s="1" t="s">
        <v>18</v>
      </c>
      <c r="G6">
        <v>45.1</v>
      </c>
      <c r="H6">
        <v>4.5</v>
      </c>
      <c r="I6" s="1" t="s">
        <v>19</v>
      </c>
      <c r="J6">
        <v>49</v>
      </c>
      <c r="K6" t="s">
        <v>89</v>
      </c>
      <c r="L6">
        <v>8</v>
      </c>
      <c r="M6">
        <v>7.9</v>
      </c>
    </row>
    <row r="7" spans="1:13" x14ac:dyDescent="0.35">
      <c r="A7">
        <v>19</v>
      </c>
      <c r="B7" s="1" t="s">
        <v>31</v>
      </c>
      <c r="C7">
        <v>43</v>
      </c>
      <c r="D7" s="1" t="s">
        <v>20</v>
      </c>
      <c r="E7" s="1" t="s">
        <v>30</v>
      </c>
      <c r="F7" s="1" t="s">
        <v>18</v>
      </c>
      <c r="G7">
        <v>46.9</v>
      </c>
      <c r="H7">
        <v>5.7</v>
      </c>
      <c r="I7" s="1" t="s">
        <v>14</v>
      </c>
      <c r="J7">
        <v>81</v>
      </c>
      <c r="K7" t="s">
        <v>91</v>
      </c>
      <c r="L7">
        <v>4.3</v>
      </c>
      <c r="M7">
        <v>8.6999999999999993</v>
      </c>
    </row>
    <row r="8" spans="1:13" x14ac:dyDescent="0.35">
      <c r="A8">
        <v>26</v>
      </c>
      <c r="B8" s="1" t="s">
        <v>32</v>
      </c>
      <c r="C8">
        <v>49</v>
      </c>
      <c r="D8" s="1" t="s">
        <v>16</v>
      </c>
      <c r="E8" s="1" t="s">
        <v>28</v>
      </c>
      <c r="F8" s="1" t="s">
        <v>18</v>
      </c>
      <c r="G8">
        <v>43.2</v>
      </c>
      <c r="H8">
        <v>7.4</v>
      </c>
      <c r="I8" s="1" t="s">
        <v>23</v>
      </c>
      <c r="J8">
        <v>14</v>
      </c>
      <c r="K8" t="s">
        <v>90</v>
      </c>
      <c r="L8">
        <v>4.8</v>
      </c>
      <c r="M8">
        <v>2.7</v>
      </c>
    </row>
    <row r="9" spans="1:13" x14ac:dyDescent="0.35">
      <c r="A9">
        <v>27</v>
      </c>
      <c r="B9" s="1" t="s">
        <v>33</v>
      </c>
      <c r="C9">
        <v>42</v>
      </c>
      <c r="D9" s="1" t="s">
        <v>16</v>
      </c>
      <c r="E9" s="1" t="s">
        <v>17</v>
      </c>
      <c r="F9" s="1" t="s">
        <v>18</v>
      </c>
      <c r="G9">
        <v>43.2</v>
      </c>
      <c r="H9">
        <v>9</v>
      </c>
      <c r="I9" s="1" t="s">
        <v>19</v>
      </c>
      <c r="J9">
        <v>87</v>
      </c>
      <c r="K9" t="s">
        <v>91</v>
      </c>
      <c r="L9">
        <v>4.9000000000000004</v>
      </c>
      <c r="M9">
        <v>8.1999999999999993</v>
      </c>
    </row>
    <row r="10" spans="1:13" x14ac:dyDescent="0.35">
      <c r="A10">
        <v>28</v>
      </c>
      <c r="B10" s="1" t="s">
        <v>34</v>
      </c>
      <c r="C10">
        <v>22</v>
      </c>
      <c r="D10" s="1" t="s">
        <v>16</v>
      </c>
      <c r="E10" s="1" t="s">
        <v>13</v>
      </c>
      <c r="F10" s="1" t="s">
        <v>18</v>
      </c>
      <c r="G10">
        <v>39.5</v>
      </c>
      <c r="H10">
        <v>9.6</v>
      </c>
      <c r="I10" s="1" t="s">
        <v>23</v>
      </c>
      <c r="J10">
        <v>35</v>
      </c>
      <c r="K10" t="s">
        <v>90</v>
      </c>
      <c r="L10">
        <v>8.1999999999999993</v>
      </c>
      <c r="M10">
        <v>2.5</v>
      </c>
    </row>
    <row r="11" spans="1:13" x14ac:dyDescent="0.35">
      <c r="A11">
        <v>31</v>
      </c>
      <c r="B11" s="1" t="s">
        <v>35</v>
      </c>
      <c r="C11">
        <v>43</v>
      </c>
      <c r="D11" s="1" t="s">
        <v>25</v>
      </c>
      <c r="E11" s="1" t="s">
        <v>13</v>
      </c>
      <c r="F11" s="1" t="s">
        <v>18</v>
      </c>
      <c r="G11">
        <v>34.799999999999997</v>
      </c>
      <c r="H11">
        <v>6.4</v>
      </c>
      <c r="I11" s="1" t="s">
        <v>23</v>
      </c>
      <c r="J11">
        <v>51</v>
      </c>
      <c r="K11" t="s">
        <v>89</v>
      </c>
      <c r="L11">
        <v>5.0999999999999996</v>
      </c>
      <c r="M11">
        <v>9.3000000000000007</v>
      </c>
    </row>
    <row r="12" spans="1:13" x14ac:dyDescent="0.35">
      <c r="A12">
        <v>35</v>
      </c>
      <c r="B12" s="1" t="s">
        <v>36</v>
      </c>
      <c r="C12">
        <v>48</v>
      </c>
      <c r="D12" s="1" t="s">
        <v>25</v>
      </c>
      <c r="E12" s="1" t="s">
        <v>30</v>
      </c>
      <c r="F12" s="1" t="s">
        <v>18</v>
      </c>
      <c r="G12">
        <v>43.6</v>
      </c>
      <c r="H12">
        <v>6.4</v>
      </c>
      <c r="I12" s="1" t="s">
        <v>23</v>
      </c>
      <c r="J12">
        <v>48</v>
      </c>
      <c r="K12" t="s">
        <v>89</v>
      </c>
      <c r="L12">
        <v>5</v>
      </c>
      <c r="M12">
        <v>5.2</v>
      </c>
    </row>
    <row r="13" spans="1:13" x14ac:dyDescent="0.35">
      <c r="A13">
        <v>36</v>
      </c>
      <c r="B13" s="1" t="s">
        <v>37</v>
      </c>
      <c r="C13">
        <v>48</v>
      </c>
      <c r="D13" s="1" t="s">
        <v>20</v>
      </c>
      <c r="E13" s="1" t="s">
        <v>21</v>
      </c>
      <c r="F13" s="1" t="s">
        <v>18</v>
      </c>
      <c r="G13">
        <v>49.4</v>
      </c>
      <c r="H13">
        <v>5.3</v>
      </c>
      <c r="I13" s="1" t="s">
        <v>14</v>
      </c>
      <c r="J13">
        <v>23</v>
      </c>
      <c r="K13" t="s">
        <v>90</v>
      </c>
      <c r="L13">
        <v>7.9</v>
      </c>
      <c r="M13">
        <v>9.6</v>
      </c>
    </row>
    <row r="14" spans="1:13" x14ac:dyDescent="0.35">
      <c r="A14">
        <v>37</v>
      </c>
      <c r="B14" s="1" t="s">
        <v>38</v>
      </c>
      <c r="C14">
        <v>31</v>
      </c>
      <c r="D14" s="1" t="s">
        <v>25</v>
      </c>
      <c r="E14" s="1" t="s">
        <v>13</v>
      </c>
      <c r="F14" s="1" t="s">
        <v>18</v>
      </c>
      <c r="G14">
        <v>46.3</v>
      </c>
      <c r="H14">
        <v>7.4</v>
      </c>
      <c r="I14" s="1" t="s">
        <v>14</v>
      </c>
      <c r="J14">
        <v>41</v>
      </c>
      <c r="K14" t="s">
        <v>89</v>
      </c>
      <c r="L14">
        <v>7</v>
      </c>
      <c r="M14">
        <v>3.1</v>
      </c>
    </row>
    <row r="15" spans="1:13" x14ac:dyDescent="0.35">
      <c r="A15">
        <v>40</v>
      </c>
      <c r="B15" s="1" t="s">
        <v>39</v>
      </c>
      <c r="C15">
        <v>37</v>
      </c>
      <c r="D15" s="1" t="s">
        <v>25</v>
      </c>
      <c r="E15" s="1" t="s">
        <v>17</v>
      </c>
      <c r="F15" s="1" t="s">
        <v>18</v>
      </c>
      <c r="G15">
        <v>37</v>
      </c>
      <c r="H15">
        <v>3.9</v>
      </c>
      <c r="I15" s="1" t="s">
        <v>14</v>
      </c>
      <c r="J15">
        <v>32</v>
      </c>
      <c r="K15" t="s">
        <v>90</v>
      </c>
      <c r="L15">
        <v>8.3000000000000007</v>
      </c>
      <c r="M15">
        <v>6.3</v>
      </c>
    </row>
    <row r="16" spans="1:13" x14ac:dyDescent="0.35">
      <c r="A16">
        <v>42</v>
      </c>
      <c r="B16" s="1" t="s">
        <v>40</v>
      </c>
      <c r="C16">
        <v>36</v>
      </c>
      <c r="D16" s="1" t="s">
        <v>20</v>
      </c>
      <c r="E16" s="1" t="s">
        <v>30</v>
      </c>
      <c r="F16" s="1" t="s">
        <v>18</v>
      </c>
      <c r="G16">
        <v>40.6</v>
      </c>
      <c r="H16">
        <v>4.0999999999999996</v>
      </c>
      <c r="I16" s="1" t="s">
        <v>14</v>
      </c>
      <c r="J16">
        <v>24</v>
      </c>
      <c r="K16" t="s">
        <v>90</v>
      </c>
      <c r="L16">
        <v>6.3</v>
      </c>
      <c r="M16">
        <v>8.6999999999999993</v>
      </c>
    </row>
    <row r="17" spans="1:13" x14ac:dyDescent="0.35">
      <c r="A17">
        <v>43</v>
      </c>
      <c r="B17" s="1" t="s">
        <v>41</v>
      </c>
      <c r="C17">
        <v>40</v>
      </c>
      <c r="D17" s="1" t="s">
        <v>16</v>
      </c>
      <c r="E17" s="1" t="s">
        <v>17</v>
      </c>
      <c r="F17" s="1" t="s">
        <v>18</v>
      </c>
      <c r="G17">
        <v>43.6</v>
      </c>
      <c r="H17">
        <v>4</v>
      </c>
      <c r="I17" s="1" t="s">
        <v>19</v>
      </c>
      <c r="J17">
        <v>34</v>
      </c>
      <c r="K17" t="s">
        <v>90</v>
      </c>
      <c r="L17">
        <v>6.4</v>
      </c>
      <c r="M17">
        <v>8.8000000000000007</v>
      </c>
    </row>
    <row r="18" spans="1:13" x14ac:dyDescent="0.35">
      <c r="A18">
        <v>46</v>
      </c>
      <c r="B18" s="1" t="s">
        <v>42</v>
      </c>
      <c r="C18">
        <v>41</v>
      </c>
      <c r="D18" s="1" t="s">
        <v>16</v>
      </c>
      <c r="E18" s="1" t="s">
        <v>13</v>
      </c>
      <c r="F18" s="1" t="s">
        <v>18</v>
      </c>
      <c r="G18">
        <v>49.7</v>
      </c>
      <c r="H18">
        <v>5.4</v>
      </c>
      <c r="I18" s="1" t="s">
        <v>23</v>
      </c>
      <c r="J18">
        <v>87</v>
      </c>
      <c r="K18" t="s">
        <v>91</v>
      </c>
      <c r="L18">
        <v>4.2</v>
      </c>
      <c r="M18">
        <v>7</v>
      </c>
    </row>
    <row r="19" spans="1:13" x14ac:dyDescent="0.35">
      <c r="A19">
        <v>47</v>
      </c>
      <c r="B19" s="1" t="s">
        <v>43</v>
      </c>
      <c r="C19">
        <v>46</v>
      </c>
      <c r="D19" s="1" t="s">
        <v>16</v>
      </c>
      <c r="E19" s="1" t="s">
        <v>21</v>
      </c>
      <c r="F19" s="1" t="s">
        <v>18</v>
      </c>
      <c r="G19">
        <v>41.5</v>
      </c>
      <c r="H19">
        <v>9.3000000000000007</v>
      </c>
      <c r="I19" s="1" t="s">
        <v>14</v>
      </c>
      <c r="J19">
        <v>62</v>
      </c>
      <c r="K19" t="s">
        <v>91</v>
      </c>
      <c r="L19">
        <v>8.6</v>
      </c>
      <c r="M19">
        <v>5.8</v>
      </c>
    </row>
    <row r="20" spans="1:13" x14ac:dyDescent="0.35">
      <c r="A20">
        <v>51</v>
      </c>
      <c r="B20" s="1" t="s">
        <v>44</v>
      </c>
      <c r="C20">
        <v>28</v>
      </c>
      <c r="D20" s="1" t="s">
        <v>25</v>
      </c>
      <c r="E20" s="1" t="s">
        <v>30</v>
      </c>
      <c r="F20" s="1" t="s">
        <v>18</v>
      </c>
      <c r="G20">
        <v>43.1</v>
      </c>
      <c r="H20">
        <v>4.3</v>
      </c>
      <c r="I20" s="1" t="s">
        <v>19</v>
      </c>
      <c r="J20">
        <v>79</v>
      </c>
      <c r="K20" t="s">
        <v>91</v>
      </c>
      <c r="L20">
        <v>4.2</v>
      </c>
      <c r="M20">
        <v>7.6</v>
      </c>
    </row>
    <row r="21" spans="1:13" x14ac:dyDescent="0.35">
      <c r="A21">
        <v>56</v>
      </c>
      <c r="B21" s="1" t="s">
        <v>45</v>
      </c>
      <c r="C21">
        <v>25</v>
      </c>
      <c r="D21" s="1" t="s">
        <v>25</v>
      </c>
      <c r="E21" s="1" t="s">
        <v>17</v>
      </c>
      <c r="F21" s="1" t="s">
        <v>18</v>
      </c>
      <c r="G21">
        <v>44.5</v>
      </c>
      <c r="H21">
        <v>3.6</v>
      </c>
      <c r="I21" s="1" t="s">
        <v>19</v>
      </c>
      <c r="J21">
        <v>81</v>
      </c>
      <c r="K21" t="s">
        <v>91</v>
      </c>
      <c r="L21">
        <v>5.0999999999999996</v>
      </c>
      <c r="M21">
        <v>2</v>
      </c>
    </row>
    <row r="22" spans="1:13" x14ac:dyDescent="0.35">
      <c r="A22">
        <v>58</v>
      </c>
      <c r="B22" s="1" t="s">
        <v>46</v>
      </c>
      <c r="C22">
        <v>49</v>
      </c>
      <c r="D22" s="1" t="s">
        <v>16</v>
      </c>
      <c r="E22" s="1" t="s">
        <v>30</v>
      </c>
      <c r="F22" s="1" t="s">
        <v>18</v>
      </c>
      <c r="G22">
        <v>46.8</v>
      </c>
      <c r="H22">
        <v>6.2</v>
      </c>
      <c r="I22" s="1" t="s">
        <v>14</v>
      </c>
      <c r="J22">
        <v>73</v>
      </c>
      <c r="K22" t="s">
        <v>91</v>
      </c>
      <c r="L22">
        <v>8.9</v>
      </c>
      <c r="M22">
        <v>2</v>
      </c>
    </row>
    <row r="23" spans="1:13" x14ac:dyDescent="0.35">
      <c r="A23">
        <v>65</v>
      </c>
      <c r="B23" s="1" t="s">
        <v>47</v>
      </c>
      <c r="C23">
        <v>23</v>
      </c>
      <c r="D23" s="1" t="s">
        <v>25</v>
      </c>
      <c r="E23" s="1" t="s">
        <v>28</v>
      </c>
      <c r="F23" s="1" t="s">
        <v>18</v>
      </c>
      <c r="G23">
        <v>37.799999999999997</v>
      </c>
      <c r="H23">
        <v>7.4</v>
      </c>
      <c r="I23" s="1" t="s">
        <v>23</v>
      </c>
      <c r="J23">
        <v>47</v>
      </c>
      <c r="K23" t="s">
        <v>89</v>
      </c>
      <c r="L23">
        <v>5.5</v>
      </c>
      <c r="M23">
        <v>6.2</v>
      </c>
    </row>
    <row r="24" spans="1:13" x14ac:dyDescent="0.35">
      <c r="A24">
        <v>68</v>
      </c>
      <c r="B24" s="1" t="s">
        <v>48</v>
      </c>
      <c r="C24">
        <v>36</v>
      </c>
      <c r="D24" s="1" t="s">
        <v>20</v>
      </c>
      <c r="E24" s="1" t="s">
        <v>22</v>
      </c>
      <c r="F24" s="1" t="s">
        <v>18</v>
      </c>
      <c r="G24">
        <v>39.4</v>
      </c>
      <c r="H24">
        <v>9.4</v>
      </c>
      <c r="I24" s="1" t="s">
        <v>19</v>
      </c>
      <c r="J24">
        <v>64</v>
      </c>
      <c r="K24" t="s">
        <v>91</v>
      </c>
      <c r="L24">
        <v>8</v>
      </c>
      <c r="M24">
        <v>8.1</v>
      </c>
    </row>
    <row r="25" spans="1:13" x14ac:dyDescent="0.35">
      <c r="A25">
        <v>70</v>
      </c>
      <c r="B25" s="1" t="s">
        <v>49</v>
      </c>
      <c r="C25">
        <v>28</v>
      </c>
      <c r="D25" s="1" t="s">
        <v>12</v>
      </c>
      <c r="E25" s="1" t="s">
        <v>13</v>
      </c>
      <c r="F25" s="1" t="s">
        <v>18</v>
      </c>
      <c r="G25">
        <v>42.8</v>
      </c>
      <c r="H25">
        <v>4.9000000000000004</v>
      </c>
      <c r="I25" s="1" t="s">
        <v>14</v>
      </c>
      <c r="J25">
        <v>77</v>
      </c>
      <c r="K25" t="s">
        <v>91</v>
      </c>
      <c r="L25">
        <v>6.3</v>
      </c>
      <c r="M25">
        <v>8.1</v>
      </c>
    </row>
    <row r="26" spans="1:13" x14ac:dyDescent="0.35">
      <c r="A26">
        <v>72</v>
      </c>
      <c r="B26" s="1" t="s">
        <v>50</v>
      </c>
      <c r="C26">
        <v>29</v>
      </c>
      <c r="D26" s="1" t="s">
        <v>25</v>
      </c>
      <c r="E26" s="1" t="s">
        <v>13</v>
      </c>
      <c r="F26" s="1" t="s">
        <v>18</v>
      </c>
      <c r="G26">
        <v>51.4</v>
      </c>
      <c r="H26">
        <v>8.1999999999999993</v>
      </c>
      <c r="I26" s="1" t="s">
        <v>23</v>
      </c>
      <c r="J26">
        <v>19</v>
      </c>
      <c r="K26" t="s">
        <v>90</v>
      </c>
      <c r="L26">
        <v>5.9</v>
      </c>
      <c r="M26">
        <v>7.1</v>
      </c>
    </row>
    <row r="27" spans="1:13" x14ac:dyDescent="0.35">
      <c r="A27">
        <v>73</v>
      </c>
      <c r="B27" s="1" t="s">
        <v>51</v>
      </c>
      <c r="C27">
        <v>36</v>
      </c>
      <c r="D27" s="1" t="s">
        <v>12</v>
      </c>
      <c r="E27" s="1" t="s">
        <v>30</v>
      </c>
      <c r="F27" s="1" t="s">
        <v>18</v>
      </c>
      <c r="G27">
        <v>46.8</v>
      </c>
      <c r="H27">
        <v>4.3</v>
      </c>
      <c r="I27" s="1" t="s">
        <v>23</v>
      </c>
      <c r="J27">
        <v>14</v>
      </c>
      <c r="K27" t="s">
        <v>90</v>
      </c>
      <c r="L27">
        <v>8.1999999999999993</v>
      </c>
      <c r="M27">
        <v>9.8000000000000007</v>
      </c>
    </row>
    <row r="28" spans="1:13" x14ac:dyDescent="0.35">
      <c r="A28">
        <v>74</v>
      </c>
      <c r="B28" s="1" t="s">
        <v>52</v>
      </c>
      <c r="C28">
        <v>24</v>
      </c>
      <c r="D28" s="1" t="s">
        <v>25</v>
      </c>
      <c r="E28" s="1" t="s">
        <v>21</v>
      </c>
      <c r="F28" s="1" t="s">
        <v>18</v>
      </c>
      <c r="G28">
        <v>39.1</v>
      </c>
      <c r="H28">
        <v>4.5</v>
      </c>
      <c r="I28" s="1" t="s">
        <v>23</v>
      </c>
      <c r="J28">
        <v>83</v>
      </c>
      <c r="K28" t="s">
        <v>91</v>
      </c>
      <c r="L28">
        <v>6.9</v>
      </c>
      <c r="M28">
        <v>9.1999999999999993</v>
      </c>
    </row>
    <row r="29" spans="1:13" x14ac:dyDescent="0.35">
      <c r="A29">
        <v>75</v>
      </c>
      <c r="B29" s="1" t="s">
        <v>53</v>
      </c>
      <c r="C29">
        <v>35</v>
      </c>
      <c r="D29" s="1" t="s">
        <v>25</v>
      </c>
      <c r="E29" s="1" t="s">
        <v>22</v>
      </c>
      <c r="F29" s="1" t="s">
        <v>18</v>
      </c>
      <c r="G29">
        <v>37.5</v>
      </c>
      <c r="H29">
        <v>5.6</v>
      </c>
      <c r="I29" s="1" t="s">
        <v>19</v>
      </c>
      <c r="J29">
        <v>47</v>
      </c>
      <c r="K29" t="s">
        <v>89</v>
      </c>
      <c r="L29">
        <v>5.5</v>
      </c>
      <c r="M29">
        <v>7.2</v>
      </c>
    </row>
    <row r="30" spans="1:13" x14ac:dyDescent="0.35">
      <c r="A30">
        <v>76</v>
      </c>
      <c r="B30" s="1" t="s">
        <v>54</v>
      </c>
      <c r="C30">
        <v>38</v>
      </c>
      <c r="D30" s="1" t="s">
        <v>20</v>
      </c>
      <c r="E30" s="1" t="s">
        <v>13</v>
      </c>
      <c r="F30" s="1" t="s">
        <v>18</v>
      </c>
      <c r="G30">
        <v>44.5</v>
      </c>
      <c r="H30">
        <v>6.4</v>
      </c>
      <c r="I30" s="1" t="s">
        <v>23</v>
      </c>
      <c r="J30">
        <v>22</v>
      </c>
      <c r="K30" t="s">
        <v>90</v>
      </c>
      <c r="L30">
        <v>7.6</v>
      </c>
      <c r="M30">
        <v>7.5</v>
      </c>
    </row>
    <row r="31" spans="1:13" x14ac:dyDescent="0.35">
      <c r="A31">
        <v>78</v>
      </c>
      <c r="B31" s="1" t="s">
        <v>55</v>
      </c>
      <c r="C31">
        <v>39</v>
      </c>
      <c r="D31" s="1" t="s">
        <v>25</v>
      </c>
      <c r="E31" s="1" t="s">
        <v>30</v>
      </c>
      <c r="F31" s="1" t="s">
        <v>18</v>
      </c>
      <c r="G31">
        <v>51.2</v>
      </c>
      <c r="H31">
        <v>5.6</v>
      </c>
      <c r="I31" s="1" t="s">
        <v>14</v>
      </c>
      <c r="J31">
        <v>56</v>
      </c>
      <c r="K31" t="s">
        <v>89</v>
      </c>
      <c r="L31">
        <v>6.7</v>
      </c>
      <c r="M31">
        <v>7.4</v>
      </c>
    </row>
    <row r="32" spans="1:13" x14ac:dyDescent="0.35">
      <c r="A32">
        <v>79</v>
      </c>
      <c r="B32" s="1" t="s">
        <v>56</v>
      </c>
      <c r="C32">
        <v>29</v>
      </c>
      <c r="D32" s="1" t="s">
        <v>12</v>
      </c>
      <c r="E32" s="1" t="s">
        <v>30</v>
      </c>
      <c r="F32" s="1" t="s">
        <v>18</v>
      </c>
      <c r="G32">
        <v>47.9</v>
      </c>
      <c r="H32">
        <v>6.2</v>
      </c>
      <c r="I32" s="1" t="s">
        <v>19</v>
      </c>
      <c r="J32">
        <v>61</v>
      </c>
      <c r="K32" t="s">
        <v>91</v>
      </c>
      <c r="L32">
        <v>6.4</v>
      </c>
      <c r="M32">
        <v>2.4</v>
      </c>
    </row>
    <row r="33" spans="1:13" x14ac:dyDescent="0.35">
      <c r="A33">
        <v>81</v>
      </c>
      <c r="B33" s="1" t="s">
        <v>57</v>
      </c>
      <c r="C33">
        <v>23</v>
      </c>
      <c r="D33" s="1" t="s">
        <v>16</v>
      </c>
      <c r="E33" s="1" t="s">
        <v>17</v>
      </c>
      <c r="F33" s="1" t="s">
        <v>18</v>
      </c>
      <c r="G33">
        <v>33.4</v>
      </c>
      <c r="H33">
        <v>3.3</v>
      </c>
      <c r="I33" s="1" t="s">
        <v>14</v>
      </c>
      <c r="J33">
        <v>24</v>
      </c>
      <c r="K33" t="s">
        <v>90</v>
      </c>
      <c r="L33">
        <v>7.8</v>
      </c>
      <c r="M33">
        <v>10</v>
      </c>
    </row>
    <row r="34" spans="1:13" x14ac:dyDescent="0.35">
      <c r="A34">
        <v>84</v>
      </c>
      <c r="B34" s="1" t="s">
        <v>58</v>
      </c>
      <c r="C34">
        <v>31</v>
      </c>
      <c r="D34" s="1" t="s">
        <v>25</v>
      </c>
      <c r="E34" s="1" t="s">
        <v>21</v>
      </c>
      <c r="F34" s="1" t="s">
        <v>18</v>
      </c>
      <c r="G34">
        <v>48.2</v>
      </c>
      <c r="H34">
        <v>9.3000000000000007</v>
      </c>
      <c r="I34" s="1" t="s">
        <v>23</v>
      </c>
      <c r="J34">
        <v>14</v>
      </c>
      <c r="K34" t="s">
        <v>90</v>
      </c>
      <c r="L34">
        <v>4.4000000000000004</v>
      </c>
      <c r="M34">
        <v>4.5</v>
      </c>
    </row>
    <row r="35" spans="1:13" x14ac:dyDescent="0.35">
      <c r="A35">
        <v>88</v>
      </c>
      <c r="B35" s="1" t="s">
        <v>59</v>
      </c>
      <c r="C35">
        <v>47</v>
      </c>
      <c r="D35" s="1" t="s">
        <v>16</v>
      </c>
      <c r="E35" s="1" t="s">
        <v>21</v>
      </c>
      <c r="F35" s="1" t="s">
        <v>18</v>
      </c>
      <c r="G35">
        <v>42.2</v>
      </c>
      <c r="H35">
        <v>6.1</v>
      </c>
      <c r="I35" s="1" t="s">
        <v>23</v>
      </c>
      <c r="J35">
        <v>85</v>
      </c>
      <c r="K35" t="s">
        <v>91</v>
      </c>
      <c r="L35">
        <v>6.6</v>
      </c>
      <c r="M35">
        <v>2.9</v>
      </c>
    </row>
    <row r="36" spans="1:13" x14ac:dyDescent="0.35">
      <c r="A36">
        <v>89</v>
      </c>
      <c r="B36" s="1" t="s">
        <v>60</v>
      </c>
      <c r="C36">
        <v>33</v>
      </c>
      <c r="D36" s="1" t="s">
        <v>20</v>
      </c>
      <c r="E36" s="1" t="s">
        <v>22</v>
      </c>
      <c r="F36" s="1" t="s">
        <v>18</v>
      </c>
      <c r="G36">
        <v>39.700000000000003</v>
      </c>
      <c r="H36">
        <v>6.7</v>
      </c>
      <c r="I36" s="1" t="s">
        <v>23</v>
      </c>
      <c r="J36">
        <v>54</v>
      </c>
      <c r="K36" t="s">
        <v>89</v>
      </c>
      <c r="L36">
        <v>8</v>
      </c>
      <c r="M36">
        <v>5.4</v>
      </c>
    </row>
    <row r="37" spans="1:13" x14ac:dyDescent="0.35">
      <c r="A37">
        <v>91</v>
      </c>
      <c r="B37" s="1" t="s">
        <v>61</v>
      </c>
      <c r="C37">
        <v>31</v>
      </c>
      <c r="D37" s="1" t="s">
        <v>16</v>
      </c>
      <c r="E37" s="1" t="s">
        <v>21</v>
      </c>
      <c r="F37" s="1" t="s">
        <v>18</v>
      </c>
      <c r="G37">
        <v>36.700000000000003</v>
      </c>
      <c r="H37">
        <v>4.9000000000000004</v>
      </c>
      <c r="I37" s="1" t="s">
        <v>23</v>
      </c>
      <c r="J37">
        <v>36</v>
      </c>
      <c r="K37" t="s">
        <v>90</v>
      </c>
      <c r="L37">
        <v>8.1999999999999993</v>
      </c>
      <c r="M37">
        <v>8</v>
      </c>
    </row>
    <row r="38" spans="1:13" x14ac:dyDescent="0.35">
      <c r="A38">
        <v>93</v>
      </c>
      <c r="B38" s="1" t="s">
        <v>62</v>
      </c>
      <c r="C38">
        <v>35</v>
      </c>
      <c r="D38" s="1" t="s">
        <v>20</v>
      </c>
      <c r="E38" s="1" t="s">
        <v>17</v>
      </c>
      <c r="F38" s="1" t="s">
        <v>18</v>
      </c>
      <c r="G38">
        <v>42.6</v>
      </c>
      <c r="H38">
        <v>3.1</v>
      </c>
      <c r="I38" s="1" t="s">
        <v>14</v>
      </c>
      <c r="J38">
        <v>45</v>
      </c>
      <c r="K38" t="s">
        <v>89</v>
      </c>
      <c r="L38">
        <v>6</v>
      </c>
      <c r="M38">
        <v>5.6</v>
      </c>
    </row>
    <row r="39" spans="1:13" x14ac:dyDescent="0.35">
      <c r="A39">
        <v>95</v>
      </c>
      <c r="B39" s="1" t="s">
        <v>63</v>
      </c>
      <c r="C39">
        <v>36</v>
      </c>
      <c r="D39" s="1" t="s">
        <v>25</v>
      </c>
      <c r="E39" s="1" t="s">
        <v>22</v>
      </c>
      <c r="F39" s="1" t="s">
        <v>18</v>
      </c>
      <c r="G39">
        <v>45.6</v>
      </c>
      <c r="H39">
        <v>4.5</v>
      </c>
      <c r="I39" s="1" t="s">
        <v>19</v>
      </c>
      <c r="J39">
        <v>52</v>
      </c>
      <c r="K39" t="s">
        <v>89</v>
      </c>
      <c r="L39">
        <v>5.3</v>
      </c>
      <c r="M39">
        <v>7.2</v>
      </c>
    </row>
    <row r="40" spans="1:13" x14ac:dyDescent="0.35">
      <c r="A40">
        <v>97</v>
      </c>
      <c r="B40" s="1" t="s">
        <v>64</v>
      </c>
      <c r="C40">
        <v>35</v>
      </c>
      <c r="D40" s="1" t="s">
        <v>25</v>
      </c>
      <c r="E40" s="1" t="s">
        <v>30</v>
      </c>
      <c r="F40" s="1" t="s">
        <v>18</v>
      </c>
      <c r="G40">
        <v>34.299999999999997</v>
      </c>
      <c r="H40">
        <v>3.8</v>
      </c>
      <c r="I40" s="1" t="s">
        <v>19</v>
      </c>
      <c r="J40">
        <v>78</v>
      </c>
      <c r="K40" t="s">
        <v>91</v>
      </c>
      <c r="L40">
        <v>6.5</v>
      </c>
      <c r="M40">
        <v>4.9000000000000004</v>
      </c>
    </row>
    <row r="41" spans="1:13" x14ac:dyDescent="0.35">
      <c r="A41">
        <v>98</v>
      </c>
      <c r="B41" s="1" t="s">
        <v>65</v>
      </c>
      <c r="C41">
        <v>44</v>
      </c>
      <c r="D41" s="1" t="s">
        <v>25</v>
      </c>
      <c r="E41" s="1" t="s">
        <v>13</v>
      </c>
      <c r="F41" s="1" t="s">
        <v>18</v>
      </c>
      <c r="G41">
        <v>48.4</v>
      </c>
      <c r="H41">
        <v>9.1999999999999993</v>
      </c>
      <c r="I41" s="1" t="s">
        <v>14</v>
      </c>
      <c r="J41">
        <v>29</v>
      </c>
      <c r="K41" t="s">
        <v>90</v>
      </c>
      <c r="L41">
        <v>7</v>
      </c>
      <c r="M41">
        <v>6.5</v>
      </c>
    </row>
    <row r="42" spans="1:13" x14ac:dyDescent="0.35">
      <c r="A42">
        <v>100</v>
      </c>
      <c r="B42" s="1" t="s">
        <v>66</v>
      </c>
      <c r="C42">
        <v>46</v>
      </c>
      <c r="D42" s="1" t="s">
        <v>16</v>
      </c>
      <c r="E42" s="1" t="s">
        <v>22</v>
      </c>
      <c r="F42" s="1" t="s">
        <v>18</v>
      </c>
      <c r="G42">
        <v>38.299999999999997</v>
      </c>
      <c r="H42">
        <v>7.8</v>
      </c>
      <c r="I42" s="1" t="s">
        <v>23</v>
      </c>
      <c r="J42">
        <v>83</v>
      </c>
      <c r="K42" t="s">
        <v>91</v>
      </c>
      <c r="L42">
        <v>6.8</v>
      </c>
      <c r="M42">
        <v>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C2A7C-6A15-4AE0-8497-62826559C8A6}">
  <dimension ref="A1"/>
  <sheetViews>
    <sheetView zoomScale="70" zoomScaleNormal="70" workbookViewId="0">
      <selection activeCell="I5" sqref="I5"/>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180F8-0A01-4291-887D-2F84E738FB98}">
  <dimension ref="A1:X163"/>
  <sheetViews>
    <sheetView zoomScale="70" zoomScaleNormal="70" workbookViewId="0">
      <selection activeCell="B56" sqref="B56"/>
    </sheetView>
  </sheetViews>
  <sheetFormatPr defaultRowHeight="14.5" x14ac:dyDescent="0.35"/>
  <cols>
    <col min="1" max="1" width="15.26953125" bestFit="1" customWidth="1"/>
    <col min="2" max="2" width="22.90625" bestFit="1" customWidth="1"/>
    <col min="3" max="3" width="11.81640625" bestFit="1" customWidth="1"/>
    <col min="4" max="4" width="7.81640625" bestFit="1" customWidth="1"/>
    <col min="5" max="5" width="11.81640625" bestFit="1" customWidth="1"/>
    <col min="6" max="6" width="33.90625" bestFit="1" customWidth="1"/>
    <col min="12" max="12" width="13.1796875" customWidth="1"/>
  </cols>
  <sheetData>
    <row r="1" spans="1:24" ht="18.5" x14ac:dyDescent="0.45">
      <c r="A1" s="12" t="s">
        <v>92</v>
      </c>
      <c r="B1" s="12"/>
      <c r="C1" s="12"/>
      <c r="D1" s="12"/>
      <c r="E1" s="12"/>
      <c r="F1" s="12"/>
      <c r="G1" s="12"/>
      <c r="H1" s="12"/>
      <c r="I1" s="12"/>
      <c r="J1" s="12"/>
    </row>
    <row r="4" spans="1:24" ht="58" x14ac:dyDescent="0.35">
      <c r="L4" s="9" t="s">
        <v>110</v>
      </c>
      <c r="M4" s="7" t="s">
        <v>93</v>
      </c>
      <c r="N4" s="7" t="s">
        <v>94</v>
      </c>
      <c r="O4" s="7" t="s">
        <v>95</v>
      </c>
      <c r="P4" s="7" t="s">
        <v>96</v>
      </c>
      <c r="R4" t="s">
        <v>70</v>
      </c>
    </row>
    <row r="5" spans="1:24" x14ac:dyDescent="0.35">
      <c r="A5" s="2" t="s">
        <v>67</v>
      </c>
      <c r="B5" t="s">
        <v>69</v>
      </c>
      <c r="L5" s="7"/>
      <c r="M5" s="7">
        <v>83</v>
      </c>
      <c r="N5" s="7">
        <v>58</v>
      </c>
      <c r="O5" s="7">
        <v>52</v>
      </c>
      <c r="P5" s="7">
        <v>29</v>
      </c>
    </row>
    <row r="6" spans="1:24" ht="15" thickBot="1" x14ac:dyDescent="0.4">
      <c r="A6" s="3" t="s">
        <v>93</v>
      </c>
      <c r="B6" s="1">
        <v>46.222222222222221</v>
      </c>
      <c r="L6" s="7"/>
      <c r="M6" s="7">
        <v>78</v>
      </c>
      <c r="N6" s="7">
        <v>45</v>
      </c>
      <c r="O6" s="7">
        <v>59</v>
      </c>
      <c r="P6" s="7">
        <v>56</v>
      </c>
      <c r="R6" t="s">
        <v>71</v>
      </c>
    </row>
    <row r="7" spans="1:24" x14ac:dyDescent="0.35">
      <c r="A7" s="3" t="s">
        <v>94</v>
      </c>
      <c r="B7" s="1">
        <v>59</v>
      </c>
      <c r="L7" s="7"/>
      <c r="M7" s="7">
        <v>18</v>
      </c>
      <c r="N7" s="7">
        <v>54</v>
      </c>
      <c r="O7" s="7">
        <v>14</v>
      </c>
      <c r="P7" s="7">
        <v>19</v>
      </c>
      <c r="R7" s="6" t="s">
        <v>72</v>
      </c>
      <c r="S7" s="6" t="s">
        <v>73</v>
      </c>
      <c r="T7" s="6" t="s">
        <v>74</v>
      </c>
      <c r="U7" s="6" t="s">
        <v>75</v>
      </c>
      <c r="V7" s="6" t="s">
        <v>76</v>
      </c>
    </row>
    <row r="8" spans="1:24" x14ac:dyDescent="0.35">
      <c r="A8" s="3" t="s">
        <v>95</v>
      </c>
      <c r="B8" s="1">
        <v>51</v>
      </c>
      <c r="L8" s="7"/>
      <c r="M8" s="7">
        <v>36</v>
      </c>
      <c r="N8" s="7">
        <v>85</v>
      </c>
      <c r="O8" s="7">
        <v>85</v>
      </c>
      <c r="P8" s="7">
        <v>87</v>
      </c>
      <c r="R8" s="4" t="s">
        <v>93</v>
      </c>
      <c r="S8" s="4">
        <v>9</v>
      </c>
      <c r="T8" s="4">
        <v>416</v>
      </c>
      <c r="U8" s="4">
        <v>46.222222222222221</v>
      </c>
      <c r="V8" s="4">
        <v>497.94444444444434</v>
      </c>
    </row>
    <row r="9" spans="1:24" x14ac:dyDescent="0.35">
      <c r="A9" s="3" t="s">
        <v>96</v>
      </c>
      <c r="B9" s="1">
        <v>42.8</v>
      </c>
      <c r="L9" s="7"/>
      <c r="M9" s="7">
        <v>24</v>
      </c>
      <c r="N9" s="7">
        <v>83</v>
      </c>
      <c r="O9" s="7">
        <v>49</v>
      </c>
      <c r="P9" s="7">
        <v>23</v>
      </c>
      <c r="R9" s="4" t="s">
        <v>94</v>
      </c>
      <c r="S9" s="4">
        <v>13</v>
      </c>
      <c r="T9" s="4">
        <v>767</v>
      </c>
      <c r="U9" s="4">
        <v>59</v>
      </c>
      <c r="V9" s="4">
        <v>570.16666666666663</v>
      </c>
    </row>
    <row r="10" spans="1:24" x14ac:dyDescent="0.35">
      <c r="A10" s="3" t="s">
        <v>68</v>
      </c>
      <c r="B10" s="1">
        <v>51.487804878048777</v>
      </c>
      <c r="L10" s="7"/>
      <c r="M10" s="7">
        <v>47</v>
      </c>
      <c r="N10" s="7">
        <v>77</v>
      </c>
      <c r="O10" s="7">
        <v>81</v>
      </c>
      <c r="P10" s="7"/>
      <c r="R10" s="4" t="s">
        <v>95</v>
      </c>
      <c r="S10" s="4">
        <v>14</v>
      </c>
      <c r="T10" s="4">
        <v>714</v>
      </c>
      <c r="U10" s="4">
        <v>51</v>
      </c>
      <c r="V10" s="4">
        <v>583.53846153846155</v>
      </c>
    </row>
    <row r="11" spans="1:24" ht="15" thickBot="1" x14ac:dyDescent="0.4">
      <c r="L11" s="7"/>
      <c r="M11" s="7">
        <v>47</v>
      </c>
      <c r="N11" s="7">
        <v>14</v>
      </c>
      <c r="O11" s="7">
        <v>61</v>
      </c>
      <c r="P11" s="7"/>
      <c r="R11" s="5" t="s">
        <v>96</v>
      </c>
      <c r="S11" s="5">
        <v>5</v>
      </c>
      <c r="T11" s="5">
        <v>214</v>
      </c>
      <c r="U11" s="5">
        <v>42.8</v>
      </c>
      <c r="V11" s="5">
        <v>819.19999999999982</v>
      </c>
    </row>
    <row r="12" spans="1:24" x14ac:dyDescent="0.35">
      <c r="L12" s="7"/>
      <c r="M12" s="7">
        <v>32</v>
      </c>
      <c r="N12" s="7">
        <v>87</v>
      </c>
      <c r="O12" s="7">
        <v>22</v>
      </c>
      <c r="P12" s="7"/>
    </row>
    <row r="13" spans="1:24" x14ac:dyDescent="0.35">
      <c r="L13" s="7"/>
      <c r="M13" s="7">
        <v>51</v>
      </c>
      <c r="N13" s="7">
        <v>35</v>
      </c>
      <c r="O13" s="7">
        <v>14</v>
      </c>
      <c r="P13" s="7"/>
    </row>
    <row r="14" spans="1:24" ht="15" thickBot="1" x14ac:dyDescent="0.4">
      <c r="L14" s="7"/>
      <c r="M14" s="7"/>
      <c r="N14" s="7">
        <v>64</v>
      </c>
      <c r="O14" s="7">
        <v>73</v>
      </c>
      <c r="P14" s="7"/>
      <c r="R14" t="s">
        <v>77</v>
      </c>
    </row>
    <row r="15" spans="1:24" x14ac:dyDescent="0.35">
      <c r="L15" s="7"/>
      <c r="M15" s="7"/>
      <c r="N15" s="7">
        <v>79</v>
      </c>
      <c r="O15" s="7">
        <v>48</v>
      </c>
      <c r="P15" s="7"/>
      <c r="R15" s="6" t="s">
        <v>78</v>
      </c>
      <c r="S15" s="6" t="s">
        <v>79</v>
      </c>
      <c r="T15" s="6" t="s">
        <v>80</v>
      </c>
      <c r="U15" s="6" t="s">
        <v>81</v>
      </c>
      <c r="V15" s="6" t="s">
        <v>82</v>
      </c>
      <c r="W15" s="6" t="s">
        <v>83</v>
      </c>
      <c r="X15" s="6" t="s">
        <v>84</v>
      </c>
    </row>
    <row r="16" spans="1:24" x14ac:dyDescent="0.35">
      <c r="L16" s="7"/>
      <c r="M16" s="7"/>
      <c r="N16" s="7">
        <v>62</v>
      </c>
      <c r="O16" s="7">
        <v>81</v>
      </c>
      <c r="P16" s="7"/>
      <c r="R16" s="4" t="s">
        <v>85</v>
      </c>
      <c r="S16" s="4">
        <v>1363.8883468834647</v>
      </c>
      <c r="T16" s="4">
        <v>3</v>
      </c>
      <c r="U16" s="4">
        <v>454.62944896115488</v>
      </c>
      <c r="V16" s="4">
        <v>0.77559082653704892</v>
      </c>
      <c r="W16" s="4">
        <v>0.51510408336386193</v>
      </c>
      <c r="X16" s="4">
        <v>2.8587960539502904</v>
      </c>
    </row>
    <row r="17" spans="1:24" x14ac:dyDescent="0.35">
      <c r="L17" s="7"/>
      <c r="M17" s="7"/>
      <c r="N17" s="7">
        <v>24</v>
      </c>
      <c r="O17" s="7">
        <v>41</v>
      </c>
      <c r="P17" s="7"/>
      <c r="R17" s="4" t="s">
        <v>86</v>
      </c>
      <c r="S17" s="4">
        <v>21688.355555555554</v>
      </c>
      <c r="T17" s="4">
        <v>37</v>
      </c>
      <c r="U17" s="4">
        <v>586.17177177177177</v>
      </c>
      <c r="V17" s="4"/>
      <c r="W17" s="4"/>
      <c r="X17" s="4"/>
    </row>
    <row r="18" spans="1:24" x14ac:dyDescent="0.35">
      <c r="L18" s="7"/>
      <c r="M18" s="7"/>
      <c r="N18" s="7"/>
      <c r="O18" s="7">
        <v>34</v>
      </c>
      <c r="P18" s="7"/>
      <c r="R18" s="4"/>
      <c r="S18" s="4"/>
      <c r="T18" s="4"/>
      <c r="U18" s="4"/>
      <c r="V18" s="4"/>
      <c r="W18" s="4"/>
      <c r="X18" s="4"/>
    </row>
    <row r="19" spans="1:24" ht="15" thickBot="1" x14ac:dyDescent="0.4">
      <c r="R19" s="5" t="s">
        <v>87</v>
      </c>
      <c r="S19" s="5">
        <v>23052.243902439019</v>
      </c>
      <c r="T19" s="5">
        <v>40</v>
      </c>
      <c r="U19" s="5"/>
      <c r="V19" s="5"/>
      <c r="W19" s="5"/>
      <c r="X19" s="5"/>
    </row>
    <row r="22" spans="1:24" ht="18.5" x14ac:dyDescent="0.45">
      <c r="A22" s="12" t="s">
        <v>97</v>
      </c>
      <c r="B22" s="12"/>
      <c r="C22" s="12"/>
      <c r="D22" s="12"/>
      <c r="E22" s="12"/>
      <c r="F22" s="12"/>
      <c r="G22" s="12"/>
      <c r="H22" s="12"/>
      <c r="I22" s="12"/>
      <c r="J22" s="12"/>
    </row>
    <row r="25" spans="1:24" x14ac:dyDescent="0.35">
      <c r="A25" s="2" t="s">
        <v>8</v>
      </c>
      <c r="B25" t="s">
        <v>113</v>
      </c>
    </row>
    <row r="27" spans="1:24" x14ac:dyDescent="0.35">
      <c r="A27" s="2" t="s">
        <v>67</v>
      </c>
      <c r="B27" t="s">
        <v>111</v>
      </c>
    </row>
    <row r="28" spans="1:24" x14ac:dyDescent="0.35">
      <c r="A28" s="3" t="s">
        <v>28</v>
      </c>
      <c r="B28" s="10">
        <v>7.3170731707317069E-2</v>
      </c>
    </row>
    <row r="29" spans="1:24" x14ac:dyDescent="0.35">
      <c r="A29" s="3" t="s">
        <v>30</v>
      </c>
      <c r="B29" s="10">
        <v>0.21951219512195122</v>
      </c>
    </row>
    <row r="30" spans="1:24" x14ac:dyDescent="0.35">
      <c r="A30" s="3" t="s">
        <v>17</v>
      </c>
      <c r="B30" s="10">
        <v>0.17073170731707318</v>
      </c>
    </row>
    <row r="31" spans="1:24" x14ac:dyDescent="0.35">
      <c r="A31" s="3" t="s">
        <v>22</v>
      </c>
      <c r="B31" s="10">
        <v>0.12195121951219512</v>
      </c>
    </row>
    <row r="32" spans="1:24" x14ac:dyDescent="0.35">
      <c r="A32" s="3" t="s">
        <v>13</v>
      </c>
      <c r="B32" s="10">
        <v>0.26829268292682928</v>
      </c>
    </row>
    <row r="33" spans="1:2" x14ac:dyDescent="0.35">
      <c r="A33" s="3" t="s">
        <v>21</v>
      </c>
      <c r="B33" s="10">
        <v>0.14634146341463414</v>
      </c>
    </row>
    <row r="34" spans="1:2" x14ac:dyDescent="0.35">
      <c r="A34" s="3" t="s">
        <v>68</v>
      </c>
      <c r="B34" s="10">
        <v>1</v>
      </c>
    </row>
    <row r="50" spans="1:17" ht="18.5" x14ac:dyDescent="0.45">
      <c r="A50" s="12" t="s">
        <v>100</v>
      </c>
      <c r="B50" s="12"/>
      <c r="C50" s="12"/>
      <c r="D50" s="12"/>
      <c r="E50" s="12"/>
      <c r="F50" s="12"/>
      <c r="G50" s="12"/>
      <c r="H50" s="12"/>
      <c r="I50" s="12"/>
      <c r="J50" s="12"/>
      <c r="K50" s="12"/>
      <c r="L50" s="12"/>
      <c r="M50" s="12"/>
    </row>
    <row r="53" spans="1:17" x14ac:dyDescent="0.35">
      <c r="A53" s="2" t="s">
        <v>98</v>
      </c>
      <c r="B53" s="2" t="s">
        <v>99</v>
      </c>
    </row>
    <row r="54" spans="1:17" x14ac:dyDescent="0.35">
      <c r="A54" s="2" t="s">
        <v>67</v>
      </c>
      <c r="B54" t="s">
        <v>91</v>
      </c>
      <c r="C54" t="s">
        <v>90</v>
      </c>
      <c r="D54" t="s">
        <v>89</v>
      </c>
      <c r="E54" t="s">
        <v>68</v>
      </c>
    </row>
    <row r="55" spans="1:17" x14ac:dyDescent="0.35">
      <c r="A55" s="3" t="s">
        <v>19</v>
      </c>
      <c r="B55" s="1">
        <v>6.0500000000000007</v>
      </c>
      <c r="C55" s="1">
        <v>4</v>
      </c>
      <c r="D55" s="1">
        <v>5.75</v>
      </c>
      <c r="E55" s="1">
        <v>5.7545454545454549</v>
      </c>
    </row>
    <row r="56" spans="1:17" x14ac:dyDescent="0.35">
      <c r="A56" s="3" t="s">
        <v>23</v>
      </c>
      <c r="B56" s="1">
        <v>5.95</v>
      </c>
      <c r="C56" s="1">
        <v>7.1571428571428575</v>
      </c>
      <c r="D56" s="1">
        <v>6.7250000000000005</v>
      </c>
      <c r="E56" s="1">
        <v>6.7200000000000015</v>
      </c>
    </row>
    <row r="57" spans="1:17" x14ac:dyDescent="0.35">
      <c r="A57" s="3" t="s">
        <v>14</v>
      </c>
      <c r="B57" s="1">
        <v>6.88</v>
      </c>
      <c r="C57" s="1">
        <v>4.95</v>
      </c>
      <c r="D57" s="1">
        <v>5.75</v>
      </c>
      <c r="E57" s="1">
        <v>5.8066666666666666</v>
      </c>
    </row>
    <row r="58" spans="1:17" x14ac:dyDescent="0.35">
      <c r="A58" s="3" t="s">
        <v>68</v>
      </c>
      <c r="B58" s="1">
        <v>6.3000000000000007</v>
      </c>
      <c r="C58" s="1">
        <v>5.9857142857142858</v>
      </c>
      <c r="D58" s="1">
        <v>6.0749999999999993</v>
      </c>
      <c r="E58" s="1">
        <v>6.126829268292683</v>
      </c>
    </row>
    <row r="63" spans="1:17" x14ac:dyDescent="0.35">
      <c r="Q63" t="s">
        <v>114</v>
      </c>
    </row>
    <row r="68" spans="1:10" x14ac:dyDescent="0.35">
      <c r="A68" s="7" t="s">
        <v>105</v>
      </c>
      <c r="B68" s="7" t="s">
        <v>91</v>
      </c>
      <c r="C68" s="7" t="s">
        <v>90</v>
      </c>
      <c r="D68" s="7" t="s">
        <v>89</v>
      </c>
      <c r="F68" t="s">
        <v>101</v>
      </c>
    </row>
    <row r="69" spans="1:10" ht="15" thickBot="1" x14ac:dyDescent="0.4">
      <c r="A69" s="7" t="s">
        <v>19</v>
      </c>
      <c r="B69" s="7">
        <v>6.0500000000000007</v>
      </c>
      <c r="C69" s="7">
        <v>4</v>
      </c>
      <c r="D69" s="7">
        <v>5.75</v>
      </c>
    </row>
    <row r="70" spans="1:10" x14ac:dyDescent="0.35">
      <c r="A70" s="7" t="s">
        <v>23</v>
      </c>
      <c r="B70" s="7">
        <v>5.95</v>
      </c>
      <c r="C70" s="7">
        <v>7.1571428571428575</v>
      </c>
      <c r="D70" s="7">
        <v>6.7250000000000005</v>
      </c>
      <c r="F70" s="6" t="s">
        <v>71</v>
      </c>
      <c r="G70" s="6" t="s">
        <v>73</v>
      </c>
      <c r="H70" s="6" t="s">
        <v>74</v>
      </c>
      <c r="I70" s="6" t="s">
        <v>75</v>
      </c>
      <c r="J70" s="6" t="s">
        <v>76</v>
      </c>
    </row>
    <row r="71" spans="1:10" x14ac:dyDescent="0.35">
      <c r="A71" s="7" t="s">
        <v>14</v>
      </c>
      <c r="B71" s="7">
        <v>6.88</v>
      </c>
      <c r="C71" s="7">
        <v>4.95</v>
      </c>
      <c r="D71" s="7">
        <v>5.75</v>
      </c>
      <c r="F71" s="4" t="s">
        <v>19</v>
      </c>
      <c r="G71" s="4">
        <v>3</v>
      </c>
      <c r="H71" s="4">
        <v>15.8</v>
      </c>
      <c r="I71" s="4">
        <v>5.2666666666666666</v>
      </c>
      <c r="J71" s="4">
        <v>1.225833333333334</v>
      </c>
    </row>
    <row r="72" spans="1:10" x14ac:dyDescent="0.35">
      <c r="F72" s="4" t="s">
        <v>23</v>
      </c>
      <c r="G72" s="4">
        <v>3</v>
      </c>
      <c r="H72" s="4">
        <v>19.832142857142859</v>
      </c>
      <c r="I72" s="4">
        <v>6.6107142857142867</v>
      </c>
      <c r="J72" s="4">
        <v>0.37409438775510218</v>
      </c>
    </row>
    <row r="73" spans="1:10" x14ac:dyDescent="0.35">
      <c r="F73" s="4" t="s">
        <v>14</v>
      </c>
      <c r="G73" s="4">
        <v>3</v>
      </c>
      <c r="H73" s="4">
        <v>17.579999999999998</v>
      </c>
      <c r="I73" s="4">
        <v>5.8599999999999994</v>
      </c>
      <c r="J73" s="4">
        <v>0.94030000000000769</v>
      </c>
    </row>
    <row r="74" spans="1:10" x14ac:dyDescent="0.35">
      <c r="F74" s="4"/>
      <c r="G74" s="4"/>
      <c r="H74" s="4"/>
      <c r="I74" s="4"/>
      <c r="J74" s="4"/>
    </row>
    <row r="75" spans="1:10" x14ac:dyDescent="0.35">
      <c r="F75" s="4" t="s">
        <v>91</v>
      </c>
      <c r="G75" s="4">
        <v>3</v>
      </c>
      <c r="H75" s="4">
        <v>18.88</v>
      </c>
      <c r="I75" s="4">
        <v>6.293333333333333</v>
      </c>
      <c r="J75" s="4">
        <v>0.26063333333333305</v>
      </c>
    </row>
    <row r="76" spans="1:10" x14ac:dyDescent="0.35">
      <c r="F76" s="4" t="s">
        <v>90</v>
      </c>
      <c r="G76" s="4">
        <v>3</v>
      </c>
      <c r="H76" s="4">
        <v>16.107142857142858</v>
      </c>
      <c r="I76" s="4">
        <v>5.3690476190476195</v>
      </c>
      <c r="J76" s="4">
        <v>2.6235884353741525</v>
      </c>
    </row>
    <row r="77" spans="1:10" ht="15" thickBot="1" x14ac:dyDescent="0.4">
      <c r="F77" s="5" t="s">
        <v>89</v>
      </c>
      <c r="G77" s="5">
        <v>3</v>
      </c>
      <c r="H77" s="5">
        <v>18.225000000000001</v>
      </c>
      <c r="I77" s="5">
        <v>6.0750000000000002</v>
      </c>
      <c r="J77" s="5">
        <v>0.31687500000000035</v>
      </c>
    </row>
    <row r="80" spans="1:10" ht="15" thickBot="1" x14ac:dyDescent="0.4">
      <c r="F80" t="s">
        <v>77</v>
      </c>
    </row>
    <row r="81" spans="1:12" x14ac:dyDescent="0.35">
      <c r="F81" s="6" t="s">
        <v>78</v>
      </c>
      <c r="G81" s="6" t="s">
        <v>79</v>
      </c>
      <c r="H81" s="6" t="s">
        <v>80</v>
      </c>
      <c r="I81" s="6" t="s">
        <v>81</v>
      </c>
      <c r="J81" s="6" t="s">
        <v>82</v>
      </c>
      <c r="K81" s="6" t="s">
        <v>83</v>
      </c>
      <c r="L81" s="6" t="s">
        <v>84</v>
      </c>
    </row>
    <row r="82" spans="1:12" x14ac:dyDescent="0.35">
      <c r="F82" s="4" t="s">
        <v>102</v>
      </c>
      <c r="G82" s="4">
        <v>2.7220803854875291</v>
      </c>
      <c r="H82" s="4">
        <v>2</v>
      </c>
      <c r="I82" s="4">
        <v>1.3610401927437645</v>
      </c>
      <c r="J82" s="4">
        <v>1.4793460272067209</v>
      </c>
      <c r="K82" s="4">
        <v>0.33041879786130179</v>
      </c>
      <c r="L82" s="4">
        <v>6.9442719099991574</v>
      </c>
    </row>
    <row r="83" spans="1:12" x14ac:dyDescent="0.35">
      <c r="F83" s="4" t="s">
        <v>103</v>
      </c>
      <c r="G83" s="4">
        <v>1.4003422902494345</v>
      </c>
      <c r="H83" s="4">
        <v>2</v>
      </c>
      <c r="I83" s="4">
        <v>0.70017114512471723</v>
      </c>
      <c r="J83" s="4">
        <v>0.76103219245637244</v>
      </c>
      <c r="K83" s="4">
        <v>0.52470723263606489</v>
      </c>
      <c r="L83" s="4">
        <v>6.9442719099991574</v>
      </c>
    </row>
    <row r="84" spans="1:12" x14ac:dyDescent="0.35">
      <c r="F84" s="4" t="s">
        <v>104</v>
      </c>
      <c r="G84" s="4">
        <v>3.6801131519274373</v>
      </c>
      <c r="H84" s="4">
        <v>4</v>
      </c>
      <c r="I84" s="4">
        <v>0.92002828798185932</v>
      </c>
      <c r="J84" s="4"/>
      <c r="K84" s="4"/>
      <c r="L84" s="4"/>
    </row>
    <row r="85" spans="1:12" x14ac:dyDescent="0.35">
      <c r="F85" s="4"/>
      <c r="G85" s="4"/>
      <c r="H85" s="4"/>
      <c r="I85" s="4"/>
      <c r="J85" s="4"/>
      <c r="K85" s="4"/>
      <c r="L85" s="4"/>
    </row>
    <row r="86" spans="1:12" ht="15" thickBot="1" x14ac:dyDescent="0.4">
      <c r="F86" s="5" t="s">
        <v>87</v>
      </c>
      <c r="G86" s="5">
        <v>7.8025358276644008</v>
      </c>
      <c r="H86" s="5">
        <v>8</v>
      </c>
      <c r="I86" s="5"/>
      <c r="J86" s="5"/>
      <c r="K86" s="5"/>
      <c r="L86" s="5"/>
    </row>
    <row r="89" spans="1:12" ht="18.5" x14ac:dyDescent="0.45">
      <c r="A89" s="12" t="s">
        <v>108</v>
      </c>
      <c r="B89" s="12"/>
      <c r="C89" s="12"/>
      <c r="D89" s="12"/>
      <c r="E89" s="12"/>
      <c r="F89" s="12"/>
      <c r="G89" s="12"/>
      <c r="H89" s="12"/>
      <c r="I89" s="12"/>
      <c r="J89" s="12"/>
    </row>
    <row r="92" spans="1:12" x14ac:dyDescent="0.35">
      <c r="A92" s="2" t="s">
        <v>67</v>
      </c>
      <c r="B92" t="s">
        <v>106</v>
      </c>
    </row>
    <row r="93" spans="1:12" x14ac:dyDescent="0.35">
      <c r="A93" s="3" t="s">
        <v>19</v>
      </c>
      <c r="B93" s="1">
        <v>5.9454545454545444</v>
      </c>
    </row>
    <row r="94" spans="1:12" x14ac:dyDescent="0.35">
      <c r="A94" s="3" t="s">
        <v>114</v>
      </c>
      <c r="B94" s="1">
        <v>6.3599999999999994</v>
      </c>
    </row>
    <row r="95" spans="1:12" x14ac:dyDescent="0.35">
      <c r="A95" s="3" t="s">
        <v>14</v>
      </c>
      <c r="B95" s="1">
        <v>7.0666666666666664</v>
      </c>
    </row>
    <row r="96" spans="1:12" x14ac:dyDescent="0.35">
      <c r="A96" s="3" t="s">
        <v>68</v>
      </c>
      <c r="B96" s="1">
        <v>6.507317073170733</v>
      </c>
    </row>
    <row r="108" spans="1:10" x14ac:dyDescent="0.35">
      <c r="A108" s="7" t="s">
        <v>107</v>
      </c>
      <c r="B108" s="7" t="s">
        <v>23</v>
      </c>
      <c r="C108" s="7" t="s">
        <v>14</v>
      </c>
      <c r="F108" t="s">
        <v>70</v>
      </c>
    </row>
    <row r="109" spans="1:10" x14ac:dyDescent="0.35">
      <c r="A109" s="7">
        <v>5.0999999999999996</v>
      </c>
      <c r="B109" s="7">
        <v>4.8</v>
      </c>
      <c r="C109" s="7">
        <v>8.6</v>
      </c>
    </row>
    <row r="110" spans="1:10" ht="15" thickBot="1" x14ac:dyDescent="0.4">
      <c r="A110" s="7">
        <v>8</v>
      </c>
      <c r="B110" s="7">
        <v>8.1999999999999993</v>
      </c>
      <c r="C110" s="7">
        <v>5.3</v>
      </c>
      <c r="F110" t="s">
        <v>71</v>
      </c>
    </row>
    <row r="111" spans="1:10" x14ac:dyDescent="0.35">
      <c r="A111" s="7">
        <v>4.9000000000000004</v>
      </c>
      <c r="B111" s="7">
        <v>5.0999999999999996</v>
      </c>
      <c r="C111" s="7">
        <v>7</v>
      </c>
      <c r="F111" s="6" t="s">
        <v>72</v>
      </c>
      <c r="G111" s="6" t="s">
        <v>73</v>
      </c>
      <c r="H111" s="6" t="s">
        <v>74</v>
      </c>
      <c r="I111" s="6" t="s">
        <v>75</v>
      </c>
      <c r="J111" s="6" t="s">
        <v>76</v>
      </c>
    </row>
    <row r="112" spans="1:10" x14ac:dyDescent="0.35">
      <c r="A112" s="7">
        <v>6.4</v>
      </c>
      <c r="B112" s="7">
        <v>5</v>
      </c>
      <c r="C112" s="7">
        <v>4.3</v>
      </c>
      <c r="F112" s="4" t="s">
        <v>107</v>
      </c>
      <c r="G112" s="4">
        <v>11</v>
      </c>
      <c r="H112" s="4">
        <v>65.399999999999991</v>
      </c>
      <c r="I112" s="4">
        <v>5.9454545454545444</v>
      </c>
      <c r="J112" s="4">
        <v>1.5347272727272809</v>
      </c>
    </row>
    <row r="113" spans="1:12" x14ac:dyDescent="0.35">
      <c r="A113" s="7">
        <v>4.2</v>
      </c>
      <c r="B113" s="7">
        <v>4.2</v>
      </c>
      <c r="C113" s="7">
        <v>7.9</v>
      </c>
      <c r="F113" s="4" t="s">
        <v>23</v>
      </c>
      <c r="G113" s="4">
        <v>15</v>
      </c>
      <c r="H113" s="4">
        <v>95.399999999999991</v>
      </c>
      <c r="I113" s="4">
        <v>6.3599999999999994</v>
      </c>
      <c r="J113" s="4">
        <v>2.1611428571428632</v>
      </c>
    </row>
    <row r="114" spans="1:12" ht="15" thickBot="1" x14ac:dyDescent="0.4">
      <c r="A114" s="7">
        <v>5.0999999999999996</v>
      </c>
      <c r="B114" s="7">
        <v>5.5</v>
      </c>
      <c r="C114" s="7">
        <v>7</v>
      </c>
      <c r="F114" s="5" t="s">
        <v>14</v>
      </c>
      <c r="G114" s="5">
        <v>15</v>
      </c>
      <c r="H114" s="5">
        <v>106</v>
      </c>
      <c r="I114" s="5">
        <v>7.0666666666666664</v>
      </c>
      <c r="J114" s="5">
        <v>1.7180952380952428</v>
      </c>
    </row>
    <row r="115" spans="1:12" x14ac:dyDescent="0.35">
      <c r="A115" s="7">
        <v>8</v>
      </c>
      <c r="B115" s="7">
        <v>5.9</v>
      </c>
      <c r="C115" s="7">
        <v>8.3000000000000007</v>
      </c>
    </row>
    <row r="116" spans="1:12" x14ac:dyDescent="0.35">
      <c r="A116" s="7">
        <v>5.5</v>
      </c>
      <c r="B116" s="7">
        <v>8.1999999999999993</v>
      </c>
      <c r="C116" s="7">
        <v>6.3</v>
      </c>
    </row>
    <row r="117" spans="1:12" ht="15" thickBot="1" x14ac:dyDescent="0.4">
      <c r="A117" s="7">
        <v>6.4</v>
      </c>
      <c r="B117" s="7">
        <v>6.9</v>
      </c>
      <c r="C117" s="7">
        <v>8.6</v>
      </c>
      <c r="F117" t="s">
        <v>77</v>
      </c>
    </row>
    <row r="118" spans="1:12" x14ac:dyDescent="0.35">
      <c r="A118" s="7">
        <v>5.3</v>
      </c>
      <c r="B118" s="7">
        <v>7.6</v>
      </c>
      <c r="C118" s="7">
        <v>8.9</v>
      </c>
      <c r="F118" s="6" t="s">
        <v>78</v>
      </c>
      <c r="G118" s="6" t="s">
        <v>79</v>
      </c>
      <c r="H118" s="6" t="s">
        <v>80</v>
      </c>
      <c r="I118" s="6" t="s">
        <v>81</v>
      </c>
      <c r="J118" s="6" t="s">
        <v>82</v>
      </c>
      <c r="K118" s="6" t="s">
        <v>83</v>
      </c>
      <c r="L118" s="6" t="s">
        <v>84</v>
      </c>
    </row>
    <row r="119" spans="1:12" x14ac:dyDescent="0.35">
      <c r="A119" s="7">
        <v>6.5</v>
      </c>
      <c r="B119" s="7">
        <v>4.4000000000000004</v>
      </c>
      <c r="C119" s="7">
        <v>6.3</v>
      </c>
      <c r="F119" s="4" t="s">
        <v>85</v>
      </c>
      <c r="G119" s="4">
        <v>8.4911988174426938</v>
      </c>
      <c r="H119" s="4">
        <v>2</v>
      </c>
      <c r="I119" s="4">
        <v>4.2455994087213469</v>
      </c>
      <c r="J119" s="4">
        <v>2.3161159673935381</v>
      </c>
      <c r="K119" s="4">
        <v>0.11242554628191377</v>
      </c>
      <c r="L119" s="4">
        <v>3.2448183607328067</v>
      </c>
    </row>
    <row r="120" spans="1:12" x14ac:dyDescent="0.35">
      <c r="A120" s="7"/>
      <c r="B120" s="7">
        <v>6.6</v>
      </c>
      <c r="C120" s="7">
        <v>6.7</v>
      </c>
      <c r="F120" s="4" t="s">
        <v>86</v>
      </c>
      <c r="G120" s="4">
        <v>69.656606060606052</v>
      </c>
      <c r="H120" s="4">
        <v>38</v>
      </c>
      <c r="I120" s="4">
        <v>1.8330685805422646</v>
      </c>
      <c r="J120" s="4"/>
      <c r="K120" s="4"/>
      <c r="L120" s="4"/>
    </row>
    <row r="121" spans="1:12" x14ac:dyDescent="0.35">
      <c r="A121" s="7"/>
      <c r="B121" s="7">
        <v>8</v>
      </c>
      <c r="C121" s="7">
        <v>7.8</v>
      </c>
      <c r="F121" s="4"/>
      <c r="G121" s="4"/>
      <c r="H121" s="4"/>
      <c r="I121" s="4"/>
      <c r="J121" s="4"/>
      <c r="K121" s="4"/>
      <c r="L121" s="4"/>
    </row>
    <row r="122" spans="1:12" ht="15" thickBot="1" x14ac:dyDescent="0.4">
      <c r="A122" s="7"/>
      <c r="B122" s="7">
        <v>8.1999999999999993</v>
      </c>
      <c r="C122" s="7">
        <v>6</v>
      </c>
      <c r="F122" s="5" t="s">
        <v>87</v>
      </c>
      <c r="G122" s="5">
        <v>78.147804878048746</v>
      </c>
      <c r="H122" s="5">
        <v>40</v>
      </c>
      <c r="I122" s="5"/>
      <c r="J122" s="5"/>
      <c r="K122" s="5"/>
      <c r="L122" s="5"/>
    </row>
    <row r="123" spans="1:12" x14ac:dyDescent="0.35">
      <c r="A123" s="7"/>
      <c r="B123" s="7">
        <v>6.8</v>
      </c>
      <c r="C123" s="7">
        <v>7</v>
      </c>
    </row>
    <row r="127" spans="1:12" ht="18.5" x14ac:dyDescent="0.45">
      <c r="A127" s="12" t="s">
        <v>109</v>
      </c>
      <c r="B127" s="12"/>
      <c r="C127" s="12"/>
      <c r="D127" s="12"/>
      <c r="E127" s="12"/>
      <c r="F127" s="12"/>
      <c r="G127" s="12"/>
      <c r="H127" s="12"/>
      <c r="I127" s="12"/>
    </row>
    <row r="130" spans="1:11" x14ac:dyDescent="0.35">
      <c r="A130" s="2" t="s">
        <v>67</v>
      </c>
      <c r="B130" t="s">
        <v>69</v>
      </c>
    </row>
    <row r="131" spans="1:11" x14ac:dyDescent="0.35">
      <c r="A131" s="3" t="s">
        <v>28</v>
      </c>
      <c r="B131" s="1">
        <v>48.666666666666664</v>
      </c>
    </row>
    <row r="132" spans="1:11" x14ac:dyDescent="0.35">
      <c r="A132" s="3" t="s">
        <v>30</v>
      </c>
      <c r="B132" s="1">
        <v>57.111111111111114</v>
      </c>
    </row>
    <row r="133" spans="1:11" x14ac:dyDescent="0.35">
      <c r="A133" s="3" t="s">
        <v>17</v>
      </c>
      <c r="B133" s="1">
        <v>51.571428571428569</v>
      </c>
    </row>
    <row r="134" spans="1:11" x14ac:dyDescent="0.35">
      <c r="A134" s="3" t="s">
        <v>22</v>
      </c>
      <c r="B134" s="1">
        <v>60</v>
      </c>
    </row>
    <row r="135" spans="1:11" x14ac:dyDescent="0.35">
      <c r="A135" s="3" t="s">
        <v>13</v>
      </c>
      <c r="B135" s="1">
        <v>44.272727272727273</v>
      </c>
    </row>
    <row r="136" spans="1:11" x14ac:dyDescent="0.35">
      <c r="A136" s="3" t="s">
        <v>21</v>
      </c>
      <c r="B136" s="1">
        <v>50.5</v>
      </c>
    </row>
    <row r="137" spans="1:11" x14ac:dyDescent="0.35">
      <c r="A137" s="3" t="s">
        <v>68</v>
      </c>
      <c r="B137" s="1">
        <v>51.487804878048777</v>
      </c>
    </row>
    <row r="143" spans="1:11" x14ac:dyDescent="0.35">
      <c r="K143" t="s">
        <v>112</v>
      </c>
    </row>
    <row r="146" spans="1:14" x14ac:dyDescent="0.35">
      <c r="A146" s="7" t="s">
        <v>28</v>
      </c>
      <c r="B146" s="7" t="s">
        <v>30</v>
      </c>
      <c r="C146" s="8" t="s">
        <v>17</v>
      </c>
      <c r="D146" s="8" t="s">
        <v>22</v>
      </c>
      <c r="E146" s="8" t="s">
        <v>13</v>
      </c>
      <c r="F146" s="8" t="s">
        <v>21</v>
      </c>
      <c r="H146" t="s">
        <v>70</v>
      </c>
    </row>
    <row r="147" spans="1:14" x14ac:dyDescent="0.35">
      <c r="A147" s="7">
        <v>47</v>
      </c>
      <c r="B147" s="7">
        <v>78</v>
      </c>
      <c r="C147" s="7">
        <v>58</v>
      </c>
      <c r="D147" s="7">
        <v>83</v>
      </c>
      <c r="E147" s="7">
        <v>29</v>
      </c>
      <c r="F147" s="7">
        <v>36</v>
      </c>
    </row>
    <row r="148" spans="1:14" ht="15" thickBot="1" x14ac:dyDescent="0.4">
      <c r="A148" s="7">
        <v>14</v>
      </c>
      <c r="B148" s="7">
        <v>61</v>
      </c>
      <c r="C148" s="7">
        <v>45</v>
      </c>
      <c r="D148" s="7">
        <v>52</v>
      </c>
      <c r="E148" s="7">
        <v>59</v>
      </c>
      <c r="F148" s="7">
        <v>85</v>
      </c>
      <c r="H148" t="s">
        <v>71</v>
      </c>
    </row>
    <row r="149" spans="1:14" x14ac:dyDescent="0.35">
      <c r="A149" s="7">
        <v>85</v>
      </c>
      <c r="B149" s="7">
        <v>56</v>
      </c>
      <c r="C149" s="7">
        <v>24</v>
      </c>
      <c r="D149" s="7">
        <v>54</v>
      </c>
      <c r="E149" s="7">
        <v>18</v>
      </c>
      <c r="F149" s="7">
        <v>14</v>
      </c>
      <c r="H149" s="6" t="s">
        <v>72</v>
      </c>
      <c r="I149" s="6" t="s">
        <v>73</v>
      </c>
      <c r="J149" s="6" t="s">
        <v>74</v>
      </c>
      <c r="K149" s="6" t="s">
        <v>75</v>
      </c>
      <c r="L149" s="6" t="s">
        <v>76</v>
      </c>
    </row>
    <row r="150" spans="1:14" x14ac:dyDescent="0.35">
      <c r="A150" s="7"/>
      <c r="B150" s="7">
        <v>14</v>
      </c>
      <c r="C150" s="7">
        <v>81</v>
      </c>
      <c r="D150" s="7">
        <v>47</v>
      </c>
      <c r="E150" s="7">
        <v>22</v>
      </c>
      <c r="F150" s="7">
        <v>83</v>
      </c>
      <c r="H150" s="4" t="s">
        <v>28</v>
      </c>
      <c r="I150" s="4">
        <v>3</v>
      </c>
      <c r="J150" s="4">
        <v>146</v>
      </c>
      <c r="K150" s="4">
        <v>48.666666666666664</v>
      </c>
      <c r="L150" s="4">
        <v>1262.3333333333335</v>
      </c>
    </row>
    <row r="151" spans="1:14" x14ac:dyDescent="0.35">
      <c r="A151" s="7"/>
      <c r="B151" s="7">
        <v>73</v>
      </c>
      <c r="C151" s="7">
        <v>34</v>
      </c>
      <c r="D151" s="7">
        <v>64</v>
      </c>
      <c r="E151" s="7">
        <v>49</v>
      </c>
      <c r="F151" s="7">
        <v>62</v>
      </c>
      <c r="H151" s="4" t="s">
        <v>30</v>
      </c>
      <c r="I151" s="4">
        <v>9</v>
      </c>
      <c r="J151" s="4">
        <v>514</v>
      </c>
      <c r="K151" s="4">
        <v>57.111111111111114</v>
      </c>
      <c r="L151" s="4">
        <v>599.11111111111131</v>
      </c>
    </row>
    <row r="152" spans="1:14" x14ac:dyDescent="0.35">
      <c r="A152" s="7"/>
      <c r="B152" s="7">
        <v>81</v>
      </c>
      <c r="C152" s="7">
        <v>32</v>
      </c>
      <c r="D152" s="7"/>
      <c r="E152" s="7">
        <v>19</v>
      </c>
      <c r="F152" s="7">
        <v>23</v>
      </c>
      <c r="H152" s="4" t="s">
        <v>17</v>
      </c>
      <c r="I152" s="4">
        <v>7</v>
      </c>
      <c r="J152" s="4">
        <v>361</v>
      </c>
      <c r="K152" s="4">
        <v>51.571428571428569</v>
      </c>
      <c r="L152" s="4">
        <v>609.61904761904771</v>
      </c>
    </row>
    <row r="153" spans="1:14" x14ac:dyDescent="0.35">
      <c r="A153" s="7"/>
      <c r="B153" s="7">
        <v>79</v>
      </c>
      <c r="C153" s="7">
        <v>87</v>
      </c>
      <c r="D153" s="7"/>
      <c r="E153" s="7">
        <v>77</v>
      </c>
      <c r="F153" s="7"/>
      <c r="H153" s="4" t="s">
        <v>22</v>
      </c>
      <c r="I153" s="4">
        <v>5</v>
      </c>
      <c r="J153" s="4">
        <v>300</v>
      </c>
      <c r="K153" s="4">
        <v>60</v>
      </c>
      <c r="L153" s="4">
        <v>203.5</v>
      </c>
    </row>
    <row r="154" spans="1:14" x14ac:dyDescent="0.35">
      <c r="A154" s="7"/>
      <c r="B154" s="7">
        <v>24</v>
      </c>
      <c r="C154" s="7"/>
      <c r="D154" s="7"/>
      <c r="E154" s="7">
        <v>87</v>
      </c>
      <c r="F154" s="7"/>
      <c r="H154" s="4" t="s">
        <v>13</v>
      </c>
      <c r="I154" s="4">
        <v>11</v>
      </c>
      <c r="J154" s="4">
        <v>487</v>
      </c>
      <c r="K154" s="4">
        <v>44.272727272727273</v>
      </c>
      <c r="L154" s="4">
        <v>533.61818181818194</v>
      </c>
    </row>
    <row r="155" spans="1:14" ht="15" thickBot="1" x14ac:dyDescent="0.4">
      <c r="A155" s="7"/>
      <c r="B155" s="7">
        <v>48</v>
      </c>
      <c r="C155" s="7"/>
      <c r="D155" s="7"/>
      <c r="E155" s="7">
        <v>35</v>
      </c>
      <c r="F155" s="7"/>
      <c r="H155" s="5" t="s">
        <v>21</v>
      </c>
      <c r="I155" s="5">
        <v>6</v>
      </c>
      <c r="J155" s="5">
        <v>303</v>
      </c>
      <c r="K155" s="5">
        <v>50.5</v>
      </c>
      <c r="L155" s="5">
        <v>935.5</v>
      </c>
    </row>
    <row r="156" spans="1:14" x14ac:dyDescent="0.35">
      <c r="A156" s="7"/>
      <c r="B156" s="7"/>
      <c r="C156" s="7"/>
      <c r="D156" s="7"/>
      <c r="E156" s="7">
        <v>51</v>
      </c>
      <c r="F156" s="7"/>
    </row>
    <row r="157" spans="1:14" x14ac:dyDescent="0.35">
      <c r="A157" s="7"/>
      <c r="B157" s="7"/>
      <c r="C157" s="7"/>
      <c r="D157" s="7"/>
      <c r="E157" s="7">
        <v>41</v>
      </c>
      <c r="F157" s="7"/>
    </row>
    <row r="158" spans="1:14" ht="15" thickBot="1" x14ac:dyDescent="0.4">
      <c r="H158" t="s">
        <v>77</v>
      </c>
    </row>
    <row r="159" spans="1:14" x14ac:dyDescent="0.35">
      <c r="H159" s="6" t="s">
        <v>78</v>
      </c>
      <c r="I159" s="6" t="s">
        <v>79</v>
      </c>
      <c r="J159" s="6" t="s">
        <v>80</v>
      </c>
      <c r="K159" s="6" t="s">
        <v>81</v>
      </c>
      <c r="L159" s="6" t="s">
        <v>82</v>
      </c>
      <c r="M159" s="6" t="s">
        <v>83</v>
      </c>
      <c r="N159" s="6" t="s">
        <v>84</v>
      </c>
    </row>
    <row r="160" spans="1:14" x14ac:dyDescent="0.35">
      <c r="H160" s="4" t="s">
        <v>85</v>
      </c>
      <c r="I160" s="4">
        <v>1249.2922429873652</v>
      </c>
      <c r="J160" s="4">
        <v>5</v>
      </c>
      <c r="K160" s="4">
        <v>249.85844859747303</v>
      </c>
      <c r="L160" s="4">
        <v>0.40109457827103639</v>
      </c>
      <c r="M160" s="4">
        <v>0.84470341358163603</v>
      </c>
      <c r="N160" s="4">
        <v>2.4851432213730082</v>
      </c>
    </row>
    <row r="161" spans="8:14" x14ac:dyDescent="0.35">
      <c r="H161" s="4" t="s">
        <v>86</v>
      </c>
      <c r="I161" s="4">
        <v>21802.951659451661</v>
      </c>
      <c r="J161" s="4">
        <v>35</v>
      </c>
      <c r="K161" s="4">
        <v>622.94147598433312</v>
      </c>
      <c r="L161" s="4"/>
      <c r="M161" s="4"/>
      <c r="N161" s="4"/>
    </row>
    <row r="162" spans="8:14" x14ac:dyDescent="0.35">
      <c r="H162" s="4"/>
      <c r="I162" s="4"/>
      <c r="J162" s="4"/>
      <c r="K162" s="4"/>
      <c r="L162" s="4"/>
      <c r="M162" s="4"/>
      <c r="N162" s="4"/>
    </row>
    <row r="163" spans="8:14" ht="15" thickBot="1" x14ac:dyDescent="0.4">
      <c r="H163" s="5" t="s">
        <v>87</v>
      </c>
      <c r="I163" s="5">
        <v>23052.243902439026</v>
      </c>
      <c r="J163" s="5">
        <v>40</v>
      </c>
      <c r="K163" s="5"/>
      <c r="L163" s="5"/>
      <c r="M163" s="5"/>
      <c r="N163" s="5"/>
    </row>
  </sheetData>
  <mergeCells count="5">
    <mergeCell ref="A1:J1"/>
    <mergeCell ref="A22:J22"/>
    <mergeCell ref="A50:M50"/>
    <mergeCell ref="A89:J89"/>
    <mergeCell ref="A127:I127"/>
  </mergeCells>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DBC0E-3DE3-4347-826C-D2D6EDB2759D}">
  <dimension ref="A1"/>
  <sheetViews>
    <sheetView topLeftCell="A22" workbookViewId="0">
      <selection activeCell="L15" sqref="L15"/>
    </sheetView>
  </sheetViews>
  <sheetFormatPr defaultRowHeight="14.5" x14ac:dyDescent="0.35"/>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48277-F7F0-4C97-BC7C-93BA07FBD172}">
  <dimension ref="A1"/>
  <sheetViews>
    <sheetView workbookViewId="0">
      <selection activeCell="H19" sqref="H19"/>
    </sheetView>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F3C3D-3C24-40DD-888E-A2EA7DF235A3}">
  <dimension ref="H8"/>
  <sheetViews>
    <sheetView showGridLines="0" showRowColHeaders="0" tabSelected="1" zoomScale="85" zoomScaleNormal="85" workbookViewId="0">
      <selection activeCell="Z39" sqref="Z39"/>
    </sheetView>
  </sheetViews>
  <sheetFormatPr defaultRowHeight="14.5" x14ac:dyDescent="0.35"/>
  <sheetData>
    <row r="8" spans="8:8" x14ac:dyDescent="0.35">
      <c r="H8" s="11"/>
    </row>
  </sheetData>
  <pageMargins left="0.7" right="0.7"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108DE8D-5128-48A6-8602-A26AAD14578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mental_health_remote_workers </vt:lpstr>
      <vt:lpstr> BUSINESS QUESTION</vt:lpstr>
      <vt:lpstr>ANALYSIS</vt:lpstr>
      <vt:lpstr>INTERPRETATION</vt:lpstr>
      <vt:lpstr>SUMMARY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emmanuelakpomiemie@outlook.com</dc:creator>
  <cp:lastModifiedBy>emmanuelakpomiemie@outlook.com</cp:lastModifiedBy>
  <cp:lastPrinted>2025-12-22T17:58:21Z</cp:lastPrinted>
  <dcterms:created xsi:type="dcterms:W3CDTF">2025-12-15T14:19:10Z</dcterms:created>
  <dcterms:modified xsi:type="dcterms:W3CDTF">2025-12-23T13:29:04Z</dcterms:modified>
</cp:coreProperties>
</file>